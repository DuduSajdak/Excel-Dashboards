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Z:\CGD\Excel Dashboards (andamento)\13.10\"/>
    </mc:Choice>
  </mc:AlternateContent>
  <xr:revisionPtr revIDLastSave="0" documentId="14_{7E785C33-50C1-4FD5-805F-3B36DD9DFAAB}" xr6:coauthVersionLast="47" xr6:coauthVersionMax="47" xr10:uidLastSave="{00000000-0000-0000-0000-000000000000}"/>
  <bookViews>
    <workbookView xWindow="-120" yWindow="-120" windowWidth="24240" windowHeight="13020" activeTab="2" xr2:uid="{00000000-000D-0000-FFFF-FFFF00000000}"/>
  </bookViews>
  <sheets>
    <sheet name="Dados" sheetId="1" r:id="rId1"/>
    <sheet name="Análise" sheetId="3" r:id="rId2"/>
    <sheet name="Dashboard" sheetId="2" r:id="rId3"/>
    <sheet name="Rótulos" sheetId="4" r:id="rId4"/>
  </sheet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4" l="1"/>
  <c r="A4" i="4"/>
  <c r="I4" i="4"/>
  <c r="N4" i="4"/>
  <c r="F17" i="3"/>
  <c r="H7" i="3" s="1"/>
  <c r="I14" i="3" l="1"/>
  <c r="I10" i="3"/>
  <c r="I17" i="3"/>
  <c r="I13" i="3"/>
  <c r="I9" i="3"/>
  <c r="I16" i="3"/>
  <c r="I12" i="3"/>
  <c r="I8" i="3"/>
  <c r="I6" i="3"/>
  <c r="H17" i="3"/>
  <c r="I15" i="3"/>
  <c r="I11" i="3"/>
  <c r="I7" i="3"/>
  <c r="J7" i="3" s="1"/>
  <c r="H6" i="3"/>
  <c r="H10" i="3"/>
  <c r="J10" i="3" s="1"/>
  <c r="J17" i="3"/>
  <c r="H13" i="3"/>
  <c r="H9" i="3"/>
  <c r="H14" i="3"/>
  <c r="H16" i="3"/>
  <c r="J16" i="3" s="1"/>
  <c r="H12" i="3"/>
  <c r="H8" i="3"/>
  <c r="H15" i="3"/>
  <c r="J15" i="3" s="1"/>
  <c r="H11" i="3"/>
  <c r="J11" i="3" s="1"/>
  <c r="G4" i="3"/>
  <c r="E2" i="4"/>
  <c r="J14" i="3" l="1"/>
  <c r="J9" i="3"/>
  <c r="J6" i="3"/>
  <c r="J8" i="3"/>
  <c r="F13" i="4" s="1"/>
  <c r="J12" i="3"/>
  <c r="J13" i="3"/>
  <c r="H18" i="3"/>
  <c r="L2" i="4"/>
  <c r="A8" i="4" s="1"/>
  <c r="C21" i="2" s="1"/>
  <c r="K1" i="4"/>
  <c r="K2" i="4" s="1"/>
  <c r="G2" i="4"/>
  <c r="A3" i="4" s="1"/>
  <c r="C19" i="2" s="1"/>
  <c r="F1" i="4"/>
  <c r="K13" i="4" l="1"/>
  <c r="O2" i="4"/>
  <c r="A11" i="4" s="1"/>
  <c r="H20" i="2" s="1"/>
  <c r="A1" i="4"/>
  <c r="C16" i="2" s="1"/>
  <c r="H2" i="4"/>
  <c r="I2" i="4" s="1"/>
  <c r="M2" i="4"/>
  <c r="N2" i="4" s="1"/>
  <c r="F2" i="4"/>
  <c r="A2" i="4" s="1"/>
  <c r="C18" i="2" s="1"/>
  <c r="A7" i="4"/>
  <c r="C20" i="2" s="1"/>
  <c r="J2" i="4"/>
  <c r="A6" i="4" l="1"/>
  <c r="H18" i="2" s="1"/>
  <c r="F20" i="2"/>
  <c r="D10" i="4"/>
  <c r="A10" i="4" s="1"/>
  <c r="F21" i="2" s="1"/>
  <c r="D5" i="4"/>
  <c r="A5" i="4" s="1"/>
  <c r="F19" i="2" s="1"/>
  <c r="F18" i="2"/>
  <c r="E14" i="4" l="1"/>
  <c r="A13" i="4" s="1"/>
  <c r="K16" i="2" s="1"/>
  <c r="L14" i="4"/>
  <c r="A20" i="4" s="1"/>
  <c r="M14" i="4" l="1"/>
  <c r="N14" i="4" s="1"/>
  <c r="H14" i="4"/>
  <c r="J14" i="4"/>
  <c r="K21" i="2"/>
  <c r="K14" i="4"/>
  <c r="A19" i="4" s="1"/>
  <c r="K20" i="2" s="1"/>
  <c r="N16" i="4" l="1"/>
  <c r="A21" i="4" s="1"/>
  <c r="N20" i="2" s="1"/>
  <c r="G14" i="4"/>
  <c r="A15" i="4" s="1"/>
  <c r="K19" i="2" s="1"/>
  <c r="F14" i="4"/>
  <c r="A14" i="4" s="1"/>
  <c r="K18" i="2" s="1"/>
  <c r="A18" i="4"/>
  <c r="P18" i="2" s="1"/>
  <c r="D22" i="4"/>
  <c r="A22" i="4" s="1"/>
  <c r="N21" i="2" s="1"/>
  <c r="I14" i="4" l="1"/>
  <c r="I16" i="4" l="1"/>
  <c r="A16" i="4" s="1"/>
  <c r="N18" i="2" s="1"/>
  <c r="D17" i="4"/>
  <c r="A17" i="4" s="1"/>
  <c r="N19" i="2" s="1"/>
</calcChain>
</file>

<file path=xl/sharedStrings.xml><?xml version="1.0" encoding="utf-8"?>
<sst xmlns="http://schemas.openxmlformats.org/spreadsheetml/2006/main" count="328" uniqueCount="52">
  <si>
    <t>Vendedor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</si>
  <si>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</si>
  <si>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</si>
  <si>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</si>
  <si>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</si>
  <si>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</si>
  <si>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</si>
  <si>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</si>
  <si>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</si>
  <si>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</si>
  <si>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</si>
  <si>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</si>
  <si>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</si>
  <si>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João</t>
  </si>
  <si>
    <t>José</t>
  </si>
  <si>
    <t>Paulo</t>
  </si>
  <si>
    <t>Ana</t>
  </si>
  <si>
    <t>Carol</t>
  </si>
  <si>
    <t>Maria</t>
  </si>
  <si>
    <t>Fábio</t>
  </si>
  <si>
    <t>Marcelo</t>
  </si>
  <si>
    <t>Pedro</t>
  </si>
  <si>
    <t>Sofia</t>
  </si>
  <si>
    <t>Rótulos de Linha</t>
  </si>
  <si>
    <t>Total Geral</t>
  </si>
  <si>
    <t>Mês</t>
  </si>
  <si>
    <t>Valor</t>
  </si>
  <si>
    <t>Meta</t>
  </si>
  <si>
    <t>Meta anual</t>
  </si>
  <si>
    <t>Seleção atual</t>
  </si>
  <si>
    <t>Meta mensal</t>
  </si>
  <si>
    <t>Vendas</t>
  </si>
  <si>
    <t>Vendas efetivadas</t>
  </si>
  <si>
    <t>Menor valor</t>
  </si>
  <si>
    <t>Maior valor</t>
  </si>
  <si>
    <t>% Meta</t>
  </si>
  <si>
    <t>% do total</t>
  </si>
  <si>
    <t>Total Vendas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</si>
  <si>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</si>
  <si>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</si>
  <si>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</si>
  <si>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</si>
  <si>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</si>
  <si>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</si>
  <si>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</si>
  <si>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</si>
  <si>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</si>
  <si>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</si>
  <si>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</si>
  <si>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</si>
  <si>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% Var.</t>
  </si>
  <si>
    <t>Índice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</si>
</sst>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&quot;M&quot;"/>
    <numFmt numFmtId="165" formatCode="#,&quot;K&quot;"/>
  </numFmts>
  <fonts count="7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35">
    <xf numFmtId="0" fontId="0" fillId="0" borderId="0" xfId="0"/>
    <xf numFmtId="3" fontId="0" fillId="0" borderId="0" xfId="0" applyNumberForma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2" fillId="2" borderId="0" xfId="0" applyFont="1" applyFill="1" applyAlignment="1">
      <alignment horizontal="center"/>
    </xf>
    <xf numFmtId="0" fontId="0" fillId="0" borderId="1" xfId="0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Border="1" applyAlignment="1">
      <alignment horizontal="right"/>
    </xf>
    <xf numFmtId="0" fontId="0" fillId="3" borderId="1" xfId="0" applyFill="1" applyBorder="1" applyAlignment="1">
      <alignment horizontal="right"/>
    </xf>
    <xf numFmtId="0" fontId="0" fillId="3" borderId="1" xfId="0" applyFill="1" applyBorder="1" applyAlignment="1">
      <alignment horizontal="left"/>
    </xf>
    <xf numFmtId="0" fontId="0" fillId="4" borderId="0" xfId="0" applyFill="1"/>
    <xf numFmtId="0" fontId="0" fillId="9" borderId="0" xfId="0" applyFill="1"/>
    <xf numFmtId="0" fontId="0" fillId="10" borderId="0" xfId="0" applyFill="1"/>
    <xf numFmtId="0" fontId="4" fillId="6" borderId="0" xfId="0" applyFont="1" applyFill="1"/>
    <xf numFmtId="0" fontId="4" fillId="9" borderId="0" xfId="0" applyFont="1" applyFill="1"/>
    <xf numFmtId="0" fontId="0" fillId="9" borderId="0" xfId="0" applyFill="1" applyAlignment="1">
      <alignment horizontal="center"/>
    </xf>
    <xf numFmtId="0" fontId="0" fillId="5" borderId="0" xfId="0" applyFill="1" applyAlignment="1">
      <alignment horizontal="center"/>
    </xf>
    <xf numFmtId="10" fontId="0" fillId="5" borderId="0" xfId="1" applyNumberFormat="1" applyFont="1" applyFill="1" applyAlignment="1">
      <alignment horizontal="center"/>
    </xf>
    <xf numFmtId="0" fontId="4" fillId="0" borderId="0" xfId="0" applyFont="1"/>
    <xf numFmtId="9" fontId="0" fillId="0" borderId="0" xfId="1" applyFont="1"/>
    <xf numFmtId="0" fontId="5" fillId="0" borderId="0" xfId="0" applyFont="1"/>
    <xf numFmtId="0" fontId="0" fillId="10" borderId="0" xfId="0" applyFill="1" applyAlignment="1">
      <alignment horizontal="center"/>
    </xf>
    <xf numFmtId="0" fontId="6" fillId="4" borderId="0" xfId="0" applyFont="1" applyFill="1"/>
    <xf numFmtId="10" fontId="0" fillId="9" borderId="0" xfId="1" applyNumberFormat="1" applyFon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7" borderId="1" xfId="0" applyFill="1" applyBorder="1" applyAlignment="1">
      <alignment horizontal="center"/>
    </xf>
    <xf numFmtId="10" fontId="0" fillId="0" borderId="1" xfId="1" applyNumberFormat="1" applyFont="1" applyBorder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165" fontId="0" fillId="0" borderId="1" xfId="0" applyNumberFormat="1" applyBorder="1" applyAlignment="1">
      <alignment horizontal="left"/>
    </xf>
    <xf numFmtId="165" fontId="0" fillId="0" borderId="1" xfId="0" applyNumberFormat="1" applyBorder="1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Normal" xfId="0" builtinId="0"/>
    <cellStyle name="Porcentagem" xfId="1" builtinId="5"/>
  </cellStyles>
  <dxfs count="6">
    <dxf>
      <numFmt numFmtId="164" formatCode="#,&quot;M&quot;"/>
    </dxf>
    <dxf>
      <numFmt numFmtId="3" formatCode="#,##0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2017 com Controles.xlsm]Análise!Tabela dinâmica2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Total anual de vendas por vendedor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C00000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Análise!$D$4</c:f>
              <c:strCache>
                <c:ptCount val="1"/>
                <c:pt idx="0">
                  <c:v>Meta anual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Análise!$B$5:$B$15</c:f>
              <c:strCache>
                <c:ptCount val="10"/>
                <c:pt idx="0">
                  <c:v>Ana</c:v>
                </c:pt>
                <c:pt idx="1">
                  <c:v>Carol</c:v>
                </c:pt>
                <c:pt idx="2">
                  <c:v>Fábio</c:v>
                </c:pt>
                <c:pt idx="3">
                  <c:v>João</c:v>
                </c:pt>
                <c:pt idx="4">
                  <c:v>José</c:v>
                </c:pt>
                <c:pt idx="5">
                  <c:v>Marcelo</c:v>
                </c:pt>
                <c:pt idx="6">
                  <c:v>Maria</c:v>
                </c:pt>
                <c:pt idx="7">
                  <c:v>Paulo</c:v>
                </c:pt>
                <c:pt idx="8">
                  <c:v>Pedro</c:v>
                </c:pt>
                <c:pt idx="9">
                  <c:v>Sofia</c:v>
                </c:pt>
              </c:strCache>
            </c:strRef>
          </c:cat>
          <c:val>
            <c:numRef>
              <c:f>Análise!$D$5:$D$15</c:f>
              <c:numCache>
                <c:formatCode>#,"M"</c:formatCode>
                <c:ptCount val="10"/>
                <c:pt idx="0">
                  <c:v>1620000</c:v>
                </c:pt>
                <c:pt idx="1">
                  <c:v>1620000</c:v>
                </c:pt>
                <c:pt idx="2">
                  <c:v>1620000</c:v>
                </c:pt>
                <c:pt idx="3">
                  <c:v>1620000</c:v>
                </c:pt>
                <c:pt idx="4">
                  <c:v>1620000</c:v>
                </c:pt>
                <c:pt idx="5">
                  <c:v>1620000</c:v>
                </c:pt>
                <c:pt idx="6">
                  <c:v>1620000</c:v>
                </c:pt>
                <c:pt idx="7">
                  <c:v>1620000</c:v>
                </c:pt>
                <c:pt idx="8">
                  <c:v>1620000</c:v>
                </c:pt>
                <c:pt idx="9">
                  <c:v>1620000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1B-4764-B0E4-C4354EE037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0"/>
        <c:axId val="166831248"/>
        <c:axId val="166831640"/>
      </c:barChart>
      <c:barChart>
        <c:barDir val="col"/>
        <c:grouping val="clustered"/>
        <c:varyColors val="0"/>
        <c:ser>
          <c:idx val="0"/>
          <c:order val="0"/>
          <c:tx>
            <c:strRef>
              <c:f>Análise!$C$4</c:f>
              <c:strCache>
                <c:ptCount val="1"/>
                <c:pt idx="0">
                  <c:v>Vendas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Análise!$B$5:$B$15</c:f>
              <c:strCache>
                <c:ptCount val="10"/>
                <c:pt idx="0">
                  <c:v>Ana</c:v>
                </c:pt>
                <c:pt idx="1">
                  <c:v>Carol</c:v>
                </c:pt>
                <c:pt idx="2">
                  <c:v>Fábio</c:v>
                </c:pt>
                <c:pt idx="3">
                  <c:v>João</c:v>
                </c:pt>
                <c:pt idx="4">
                  <c:v>José</c:v>
                </c:pt>
                <c:pt idx="5">
                  <c:v>Marcelo</c:v>
                </c:pt>
                <c:pt idx="6">
                  <c:v>Maria</c:v>
                </c:pt>
                <c:pt idx="7">
                  <c:v>Paulo</c:v>
                </c:pt>
                <c:pt idx="8">
                  <c:v>Pedro</c:v>
                </c:pt>
                <c:pt idx="9">
                  <c:v>Sofia</c:v>
                </c:pt>
              </c:strCache>
            </c:strRef>
          </c:cat>
          <c:val>
            <c:numRef>
              <c:f>Análise!$C$5:$C$15</c:f>
              <c:numCache>
                <c:formatCode>#,"M"</c:formatCode>
                <c:ptCount val="10"/>
                <c:pt idx="0">
                  <c:v>1388000</c:v>
                </c:pt>
                <c:pt idx="1">
                  <c:v>1475000</c:v>
                </c:pt>
                <c:pt idx="2">
                  <c:v>1495000</c:v>
                </c:pt>
                <c:pt idx="3">
                  <c:v>1665000</c:v>
                </c:pt>
                <c:pt idx="4">
                  <c:v>1460000</c:v>
                </c:pt>
                <c:pt idx="5">
                  <c:v>1404000</c:v>
                </c:pt>
                <c:pt idx="6">
                  <c:v>1443000</c:v>
                </c:pt>
                <c:pt idx="7">
                  <c:v>1478000</c:v>
                </c:pt>
                <c:pt idx="8">
                  <c:v>1468000</c:v>
                </c:pt>
                <c:pt idx="9">
                  <c:v>1488000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1B-4764-B0E4-C4354EE0374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00"/>
        <c:axId val="166832424"/>
        <c:axId val="166832032"/>
      </c:barChart>
      <c:catAx>
        <c:axId val="166831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831640"/>
        <c:crosses val="autoZero"/>
        <c:auto val="1"/>
        <c:lblAlgn val="ctr"/>
        <c:lblOffset val="100"/>
        <c:noMultiLvlLbl val="0"/>
      </c:catAx>
      <c:valAx>
        <c:axId val="166831640"/>
        <c:scaling>
          <c:orientation val="minMax"/>
        </c:scaling>
        <c:delete val="1"/>
        <c:axPos val="l"/>
        <c:numFmt formatCode="#,&quot;M&quot;" sourceLinked="1"/>
        <c:majorTickMark val="none"/>
        <c:minorTickMark val="none"/>
        <c:tickLblPos val="nextTo"/>
        <c:crossAx val="166831248"/>
        <c:crosses val="autoZero"/>
        <c:crossBetween val="between"/>
      </c:valAx>
      <c:valAx>
        <c:axId val="166832032"/>
        <c:scaling>
          <c:orientation val="minMax"/>
        </c:scaling>
        <c:delete val="1"/>
        <c:axPos val="r"/>
        <c:numFmt formatCode="#,&quot;M&quot;" sourceLinked="1"/>
        <c:majorTickMark val="out"/>
        <c:minorTickMark val="none"/>
        <c:tickLblPos val="nextTo"/>
        <c:crossAx val="166832424"/>
        <c:crosses val="max"/>
        <c:crossBetween val="between"/>
      </c:valAx>
      <c:catAx>
        <c:axId val="166832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683203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rgbClr val="0070C0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[Vendas 2017 com Controles.xlsm]Análise!Tabela dinâmica2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anual de vendas por vendedor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2225" cap="rnd" cmpd="sng" algn="ctr">
            <a:solidFill>
              <a:schemeClr val="accent1"/>
            </a:solidFill>
            <a:round/>
          </a:ln>
          <a:effectLst/>
        </c:spPr>
        <c:marker>
          <c:symbol val="circle"/>
          <c:size val="4"/>
          <c:spPr>
            <a:solidFill>
              <a:schemeClr val="accent1"/>
            </a:solidFill>
            <a:ln w="19050" cap="flat" cmpd="sng" algn="ctr">
              <a:solidFill>
                <a:schemeClr val="accent1"/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15875" cap="rnd" cmpd="sng" algn="ctr">
            <a:solidFill>
              <a:srgbClr val="FF0000"/>
            </a:solidFill>
            <a:round/>
          </a:ln>
          <a:effectLst/>
        </c:spPr>
        <c:marker>
          <c:symbol val="circle"/>
          <c:size val="4"/>
          <c:spPr>
            <a:solidFill>
              <a:srgbClr val="FF0000"/>
            </a:solidFill>
            <a:ln w="9525" cap="flat" cmpd="sng" algn="ctr">
              <a:noFill/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Análise!$C$4</c:f>
              <c:strCache>
                <c:ptCount val="1"/>
                <c:pt idx="0">
                  <c:v>Vendas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19050" cap="flat" cmpd="sng" algn="ctr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Análise!$B$5:$B$15</c:f>
              <c:strCache>
                <c:ptCount val="10"/>
                <c:pt idx="0">
                  <c:v>Ana</c:v>
                </c:pt>
                <c:pt idx="1">
                  <c:v>Carol</c:v>
                </c:pt>
                <c:pt idx="2">
                  <c:v>Fábio</c:v>
                </c:pt>
                <c:pt idx="3">
                  <c:v>João</c:v>
                </c:pt>
                <c:pt idx="4">
                  <c:v>José</c:v>
                </c:pt>
                <c:pt idx="5">
                  <c:v>Marcelo</c:v>
                </c:pt>
                <c:pt idx="6">
                  <c:v>Maria</c:v>
                </c:pt>
                <c:pt idx="7">
                  <c:v>Paulo</c:v>
                </c:pt>
                <c:pt idx="8">
                  <c:v>Pedro</c:v>
                </c:pt>
                <c:pt idx="9">
                  <c:v>Sofia</c:v>
                </c:pt>
              </c:strCache>
            </c:strRef>
          </c:cat>
          <c:val>
            <c:numRef>
              <c:f>Análise!$C$5:$C$15</c:f>
              <c:numCache>
                <c:formatCode>#,"M"</c:formatCode>
                <c:ptCount val="10"/>
                <c:pt idx="0">
                  <c:v>1388000</c:v>
                </c:pt>
                <c:pt idx="1">
                  <c:v>1475000</c:v>
                </c:pt>
                <c:pt idx="2">
                  <c:v>1495000</c:v>
                </c:pt>
                <c:pt idx="3">
                  <c:v>1665000</c:v>
                </c:pt>
                <c:pt idx="4">
                  <c:v>1460000</c:v>
                </c:pt>
                <c:pt idx="5">
                  <c:v>1404000</c:v>
                </c:pt>
                <c:pt idx="6">
                  <c:v>1443000</c:v>
                </c:pt>
                <c:pt idx="7">
                  <c:v>1478000</c:v>
                </c:pt>
                <c:pt idx="8">
                  <c:v>1468000</c:v>
                </c:pt>
                <c:pt idx="9">
                  <c:v>1488000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89-410A-8E4B-F55ADEE18978}"/>
            </c:ext>
          </c:extLst>
        </c:ser>
        <c:ser>
          <c:idx val="1"/>
          <c:order val="1"/>
          <c:tx>
            <c:strRef>
              <c:f>Análise!$D$4</c:f>
              <c:strCache>
                <c:ptCount val="1"/>
                <c:pt idx="0">
                  <c:v>Meta anual</c:v>
                </c:pt>
              </c:strCache>
            </c:strRef>
          </c:tx>
          <c:spPr>
            <a:ln w="15875" cap="rnd" cmpd="sng" algn="ctr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 cap="flat" cmpd="sng" algn="ctr">
                <a:noFill/>
                <a:round/>
              </a:ln>
              <a:effectLst/>
            </c:spPr>
          </c:marker>
          <c:cat>
            <c:strRef>
              <c:f>Análise!$B$5:$B$15</c:f>
              <c:strCache>
                <c:ptCount val="10"/>
                <c:pt idx="0">
                  <c:v>Ana</c:v>
                </c:pt>
                <c:pt idx="1">
                  <c:v>Carol</c:v>
                </c:pt>
                <c:pt idx="2">
                  <c:v>Fábio</c:v>
                </c:pt>
                <c:pt idx="3">
                  <c:v>João</c:v>
                </c:pt>
                <c:pt idx="4">
                  <c:v>José</c:v>
                </c:pt>
                <c:pt idx="5">
                  <c:v>Marcelo</c:v>
                </c:pt>
                <c:pt idx="6">
                  <c:v>Maria</c:v>
                </c:pt>
                <c:pt idx="7">
                  <c:v>Paulo</c:v>
                </c:pt>
                <c:pt idx="8">
                  <c:v>Pedro</c:v>
                </c:pt>
                <c:pt idx="9">
                  <c:v>Sofia</c:v>
                </c:pt>
              </c:strCache>
            </c:strRef>
          </c:cat>
          <c:val>
            <c:numRef>
              <c:f>Análise!$D$5:$D$15</c:f>
              <c:numCache>
                <c:formatCode>#,"M"</c:formatCode>
                <c:ptCount val="10"/>
                <c:pt idx="0">
                  <c:v>1620000</c:v>
                </c:pt>
                <c:pt idx="1">
                  <c:v>1620000</c:v>
                </c:pt>
                <c:pt idx="2">
                  <c:v>1620000</c:v>
                </c:pt>
                <c:pt idx="3">
                  <c:v>1620000</c:v>
                </c:pt>
                <c:pt idx="4">
                  <c:v>1620000</c:v>
                </c:pt>
                <c:pt idx="5">
                  <c:v>1620000</c:v>
                </c:pt>
                <c:pt idx="6">
                  <c:v>1620000</c:v>
                </c:pt>
                <c:pt idx="7">
                  <c:v>1620000</c:v>
                </c:pt>
                <c:pt idx="8">
                  <c:v>1620000</c:v>
                </c:pt>
                <c:pt idx="9">
                  <c:v>1620000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89-410A-8E4B-F55ADEE189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tx1">
                  <a:alpha val="33000"/>
                </a:schemeClr>
              </a:solidFill>
              <a:round/>
            </a:ln>
            <a:effectLst/>
          </c:spPr>
        </c:dropLines>
        <c:marker val="1"/>
        <c:smooth val="0"/>
        <c:axId val="100673336"/>
        <c:axId val="100673728"/>
      </c:lineChart>
      <c:catAx>
        <c:axId val="100673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673728"/>
        <c:crosses val="autoZero"/>
        <c:auto val="1"/>
        <c:lblAlgn val="ctr"/>
        <c:lblOffset val="100"/>
        <c:noMultiLvlLbl val="0"/>
      </c:catAx>
      <c:valAx>
        <c:axId val="100673728"/>
        <c:scaling>
          <c:orientation val="minMax"/>
          <c:min val="1300000"/>
        </c:scaling>
        <c:delete val="1"/>
        <c:axPos val="l"/>
        <c:numFmt formatCode="#,&quot;M&quot;" sourceLinked="1"/>
        <c:majorTickMark val="none"/>
        <c:minorTickMark val="none"/>
        <c:tickLblPos val="nextTo"/>
        <c:crossAx val="10067333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/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dTable>
      <c:spPr>
        <a:solidFill>
          <a:schemeClr val="accent1">
            <a:lumMod val="20000"/>
            <a:lumOff val="8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Análise!$G$4</c:f>
          <c:strCache>
            <c:ptCount val="1"/>
            <c:pt idx="0">
              <c:v>Vendas mensais de José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Análise!$I$5</c:f>
              <c:strCache>
                <c:ptCount val="1"/>
                <c:pt idx="0">
                  <c:v>Meta mensal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 w="9525" cap="flat" cmpd="sng" algn="ctr">
              <a:noFill/>
              <a:round/>
            </a:ln>
            <a:effectLst/>
          </c:spPr>
          <c:invertIfNegative val="0"/>
          <c:cat>
            <c:strRef>
              <c:f>Análise!$G$6:$G$17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Análise!$I$6:$I$17</c:f>
              <c:numCache>
                <c:formatCode>#,"K"</c:formatCode>
                <c:ptCount val="12"/>
                <c:pt idx="0">
                  <c:v>120000</c:v>
                </c:pt>
                <c:pt idx="1">
                  <c:v>120000</c:v>
                </c:pt>
                <c:pt idx="2">
                  <c:v>120000</c:v>
                </c:pt>
                <c:pt idx="3">
                  <c:v>130000</c:v>
                </c:pt>
                <c:pt idx="4">
                  <c:v>130000</c:v>
                </c:pt>
                <c:pt idx="5">
                  <c:v>130000</c:v>
                </c:pt>
                <c:pt idx="6">
                  <c:v>140000</c:v>
                </c:pt>
                <c:pt idx="7">
                  <c:v>140000</c:v>
                </c:pt>
                <c:pt idx="8">
                  <c:v>140000</c:v>
                </c:pt>
                <c:pt idx="9">
                  <c:v>150000</c:v>
                </c:pt>
                <c:pt idx="10">
                  <c:v>150000</c:v>
                </c:pt>
                <c:pt idx="11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C-4A45-A35A-9C3E2332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axId val="166833600"/>
        <c:axId val="166833992"/>
      </c:barChart>
      <c:barChart>
        <c:barDir val="col"/>
        <c:grouping val="clustered"/>
        <c:varyColors val="0"/>
        <c:ser>
          <c:idx val="0"/>
          <c:order val="0"/>
          <c:tx>
            <c:strRef>
              <c:f>Análise!$H$5</c:f>
              <c:strCache>
                <c:ptCount val="1"/>
                <c:pt idx="0">
                  <c:v>Vendas efetivadas</c:v>
                </c:pt>
              </c:strCache>
            </c:strRef>
          </c:tx>
          <c:spPr>
            <a:solidFill>
              <a:srgbClr val="C00000"/>
            </a:solidFill>
            <a:ln w="9525" cap="flat" cmpd="sng" algn="ctr">
              <a:noFill/>
              <a:round/>
            </a:ln>
            <a:effectLst/>
          </c:spPr>
          <c:invertIfNegative val="0"/>
          <c:cat>
            <c:strRef>
              <c:f>Análise!$G$6:$G$17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Análise!$H$6:$H$17</c:f>
              <c:numCache>
                <c:formatCode>#,"K"</c:formatCode>
                <c:ptCount val="12"/>
                <c:pt idx="0">
                  <c:v>110000</c:v>
                </c:pt>
                <c:pt idx="1">
                  <c:v>120000</c:v>
                </c:pt>
                <c:pt idx="2">
                  <c:v>120000</c:v>
                </c:pt>
                <c:pt idx="3">
                  <c:v>115000</c:v>
                </c:pt>
                <c:pt idx="4">
                  <c:v>125000</c:v>
                </c:pt>
                <c:pt idx="5">
                  <c:v>130000</c:v>
                </c:pt>
                <c:pt idx="6">
                  <c:v>120000</c:v>
                </c:pt>
                <c:pt idx="7">
                  <c:v>115000</c:v>
                </c:pt>
                <c:pt idx="8">
                  <c:v>125000</c:v>
                </c:pt>
                <c:pt idx="9">
                  <c:v>130000</c:v>
                </c:pt>
                <c:pt idx="10">
                  <c:v>125000</c:v>
                </c:pt>
                <c:pt idx="11">
                  <c:v>125000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FC-4A45-A35A-9C3E2332C3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axId val="166834776"/>
        <c:axId val="166834384"/>
      </c:barChart>
      <c:catAx>
        <c:axId val="166833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833992"/>
        <c:crosses val="autoZero"/>
        <c:auto val="1"/>
        <c:lblAlgn val="ctr"/>
        <c:lblOffset val="100"/>
        <c:noMultiLvlLbl val="0"/>
      </c:catAx>
      <c:valAx>
        <c:axId val="166833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&quot;K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6833600"/>
        <c:crosses val="autoZero"/>
        <c:crossBetween val="between"/>
      </c:valAx>
      <c:valAx>
        <c:axId val="166834384"/>
        <c:scaling>
          <c:orientation val="minMax"/>
        </c:scaling>
        <c:delete val="1"/>
        <c:axPos val="r"/>
        <c:numFmt formatCode="#,&quot;K&quot;" sourceLinked="1"/>
        <c:majorTickMark val="out"/>
        <c:minorTickMark val="none"/>
        <c:tickLblPos val="nextTo"/>
        <c:crossAx val="166834776"/>
        <c:crosses val="max"/>
        <c:crossBetween val="between"/>
      </c:valAx>
      <c:catAx>
        <c:axId val="166834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683438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Drop" dropLines="10" dropStyle="combo" dx="22" fmlaLink="$V$2" fmlaRange="Análise!$F$5:$F$14" noThreeD="1" sel="5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9</xdr:col>
      <xdr:colOff>1</xdr:colOff>
      <xdr:row>14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8</xdr:col>
      <xdr:colOff>600076</xdr:colOff>
      <xdr:row>14</xdr:row>
      <xdr:rowOff>76200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14</xdr:row>
          <xdr:rowOff>171450</xdr:rowOff>
        </xdr:from>
        <xdr:to>
          <xdr:col>2</xdr:col>
          <xdr:colOff>9525</xdr:colOff>
          <xdr:row>18</xdr:row>
          <xdr:rowOff>57151</xdr:rowOff>
        </xdr:to>
        <xdr:grpSp>
          <xdr:nvGrpSpPr>
            <xdr:cNvPr id="5" name="Grupo 4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pSpPr/>
          </xdr:nvGrpSpPr>
          <xdr:grpSpPr>
            <a:xfrm>
              <a:off x="76200" y="2838450"/>
              <a:ext cx="1152525" cy="695326"/>
              <a:chOff x="76200" y="2838450"/>
              <a:chExt cx="1152525" cy="647701"/>
            </a:xfrm>
          </xdr:grpSpPr>
          <xdr:sp macro="" textlink="">
            <xdr:nvSpPr>
              <xdr:cNvPr id="1025" name="Option Button 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200-000001040000}"/>
                  </a:ext>
                </a:extLst>
              </xdr:cNvPr>
              <xdr:cNvSpPr/>
            </xdr:nvSpPr>
            <xdr:spPr bwMode="auto">
              <a:xfrm>
                <a:off x="142875" y="2990850"/>
                <a:ext cx="1085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Coluna</a:t>
                </a:r>
              </a:p>
            </xdr:txBody>
          </xdr:sp>
          <xdr:sp macro="" textlink="">
            <xdr:nvSpPr>
              <xdr:cNvPr id="1026" name="Option Button 2" hidden="1">
                <a:extLst>
                  <a:ext uri="{63B3BB69-23CF-44E3-9099-C40C66FF867C}">
                    <a14:compatExt spid="_x0000_s1026"/>
                  </a:ext>
                  <a:ext uri="{FF2B5EF4-FFF2-40B4-BE49-F238E27FC236}">
                    <a16:creationId xmlns:a16="http://schemas.microsoft.com/office/drawing/2014/main" id="{00000000-0008-0000-0200-000002040000}"/>
                  </a:ext>
                </a:extLst>
              </xdr:cNvPr>
              <xdr:cNvSpPr/>
            </xdr:nvSpPr>
            <xdr:spPr bwMode="auto">
              <a:xfrm>
                <a:off x="142875" y="3248025"/>
                <a:ext cx="108585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Linha</a:t>
                </a:r>
              </a:p>
            </xdr:txBody>
          </xdr:sp>
          <xdr:sp macro="" textlink="">
            <xdr:nvSpPr>
              <xdr:cNvPr id="1027" name="Group Box 3" hidden="1">
                <a:extLst>
                  <a:ext uri="{63B3BB69-23CF-44E3-9099-C40C66FF867C}">
                    <a14:compatExt spid="_x0000_s1027"/>
                  </a:ext>
                  <a:ext uri="{FF2B5EF4-FFF2-40B4-BE49-F238E27FC236}">
                    <a16:creationId xmlns:a16="http://schemas.microsoft.com/office/drawing/2014/main" id="{00000000-0008-0000-0200-000003040000}"/>
                  </a:ext>
                </a:extLst>
              </xdr:cNvPr>
              <xdr:cNvSpPr/>
            </xdr:nvSpPr>
            <xdr:spPr bwMode="auto">
              <a:xfrm>
                <a:off x="76200" y="2838450"/>
                <a:ext cx="704850" cy="6477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Gráfico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9</xdr:col>
      <xdr:colOff>76200</xdr:colOff>
      <xdr:row>0</xdr:row>
      <xdr:rowOff>47625</xdr:rowOff>
    </xdr:from>
    <xdr:to>
      <xdr:col>17</xdr:col>
      <xdr:colOff>219075</xdr:colOff>
      <xdr:row>14</xdr:row>
      <xdr:rowOff>28575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208B095F-6F65-DC25-26AC-44847C36E9C2}"/>
            </a:ext>
          </a:extLst>
        </xdr:cNvPr>
        <xdr:cNvSpPr/>
      </xdr:nvSpPr>
      <xdr:spPr>
        <a:xfrm>
          <a:off x="5553075" y="47625"/>
          <a:ext cx="4733925" cy="2647950"/>
        </a:xfrm>
        <a:prstGeom prst="roundRect">
          <a:avLst/>
        </a:prstGeom>
        <a:solidFill>
          <a:schemeClr val="accent1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57150</xdr:colOff>
      <xdr:row>0</xdr:row>
      <xdr:rowOff>19051</xdr:rowOff>
    </xdr:from>
    <xdr:to>
      <xdr:col>17</xdr:col>
      <xdr:colOff>38100</xdr:colOff>
      <xdr:row>14</xdr:row>
      <xdr:rowOff>85725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752475</xdr:colOff>
          <xdr:row>0</xdr:row>
          <xdr:rowOff>76200</xdr:rowOff>
        </xdr:from>
        <xdr:to>
          <xdr:col>16</xdr:col>
          <xdr:colOff>447675</xdr:colOff>
          <xdr:row>2</xdr:row>
          <xdr:rowOff>0</xdr:rowOff>
        </xdr:to>
        <xdr:sp macro="" textlink="">
          <xdr:nvSpPr>
            <xdr:cNvPr id="1028" name="Drop Dow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" refreshedDate="41704.424707638886" createdVersion="5" refreshedVersion="5" minRefreshableVersion="3" recordCount="120" xr:uid="{00000000-000A-0000-FFFF-FFFF00000000}">
  <cacheSource type="worksheet">
    <worksheetSource name="Tabela1"/>
  </cacheSource>
  <cacheFields count="4">
    <cacheField name="Vendedor" numFmtId="0">
      <sharedItems count="10">
        <s v="João"/>
        <s v="José"/>
        <s v="Paulo"/>
        <s v="Ana"/>
        <s v="Carol"/>
        <s v="Maria"/>
        <s v="Fábio"/>
        <s v="Marcelo"/>
        <s v="Pedro"/>
        <s v="Sofia"/>
      </sharedItems>
    </cacheField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Valor" numFmtId="3">
      <sharedItems containsSemiMixedTypes="0" containsString="0" containsNumber="1" containsInteger="1" minValue="100000" maxValue="200000"/>
    </cacheField>
    <cacheField name="Meta" numFmtId="0">
      <sharedItems containsSemiMixedTypes="0" containsString="0" containsNumber="1" containsInteger="1" minValue="120000" maxValue="15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0">
  <r>
    <x v="0"/>
    <x v="0"/>
    <n v="120000"/>
    <n v="120000"/>
  </r>
  <r>
    <x v="0"/>
    <x v="1"/>
    <n v="100000"/>
    <n v="120000"/>
  </r>
  <r>
    <x v="0"/>
    <x v="2"/>
    <n v="115000"/>
    <n v="120000"/>
  </r>
  <r>
    <x v="0"/>
    <x v="3"/>
    <n v="130000"/>
    <n v="130000"/>
  </r>
  <r>
    <x v="0"/>
    <x v="4"/>
    <n v="120000"/>
    <n v="130000"/>
  </r>
  <r>
    <x v="0"/>
    <x v="5"/>
    <n v="125000"/>
    <n v="130000"/>
  </r>
  <r>
    <x v="0"/>
    <x v="6"/>
    <n v="150000"/>
    <n v="140000"/>
  </r>
  <r>
    <x v="0"/>
    <x v="7"/>
    <n v="155000"/>
    <n v="140000"/>
  </r>
  <r>
    <x v="0"/>
    <x v="8"/>
    <n v="140000"/>
    <n v="140000"/>
  </r>
  <r>
    <x v="0"/>
    <x v="9"/>
    <n v="150000"/>
    <n v="150000"/>
  </r>
  <r>
    <x v="0"/>
    <x v="10"/>
    <n v="160000"/>
    <n v="150000"/>
  </r>
  <r>
    <x v="0"/>
    <x v="11"/>
    <n v="200000"/>
    <n v="150000"/>
  </r>
  <r>
    <x v="1"/>
    <x v="0"/>
    <n v="110000"/>
    <n v="120000"/>
  </r>
  <r>
    <x v="1"/>
    <x v="1"/>
    <n v="120000"/>
    <n v="120000"/>
  </r>
  <r>
    <x v="1"/>
    <x v="2"/>
    <n v="120000"/>
    <n v="120000"/>
  </r>
  <r>
    <x v="1"/>
    <x v="3"/>
    <n v="115000"/>
    <n v="130000"/>
  </r>
  <r>
    <x v="1"/>
    <x v="4"/>
    <n v="125000"/>
    <n v="130000"/>
  </r>
  <r>
    <x v="1"/>
    <x v="5"/>
    <n v="130000"/>
    <n v="130000"/>
  </r>
  <r>
    <x v="1"/>
    <x v="6"/>
    <n v="120000"/>
    <n v="140000"/>
  </r>
  <r>
    <x v="1"/>
    <x v="7"/>
    <n v="115000"/>
    <n v="140000"/>
  </r>
  <r>
    <x v="1"/>
    <x v="8"/>
    <n v="125000"/>
    <n v="140000"/>
  </r>
  <r>
    <x v="1"/>
    <x v="9"/>
    <n v="130000"/>
    <n v="150000"/>
  </r>
  <r>
    <x v="1"/>
    <x v="10"/>
    <n v="125000"/>
    <n v="150000"/>
  </r>
  <r>
    <x v="1"/>
    <x v="11"/>
    <n v="125000"/>
    <n v="150000"/>
  </r>
  <r>
    <x v="2"/>
    <x v="0"/>
    <n v="120000"/>
    <n v="120000"/>
  </r>
  <r>
    <x v="2"/>
    <x v="1"/>
    <n v="115000"/>
    <n v="120000"/>
  </r>
  <r>
    <x v="2"/>
    <x v="2"/>
    <n v="118000"/>
    <n v="120000"/>
  </r>
  <r>
    <x v="2"/>
    <x v="3"/>
    <n v="120000"/>
    <n v="130000"/>
  </r>
  <r>
    <x v="2"/>
    <x v="4"/>
    <n v="125000"/>
    <n v="130000"/>
  </r>
  <r>
    <x v="2"/>
    <x v="5"/>
    <n v="120000"/>
    <n v="130000"/>
  </r>
  <r>
    <x v="2"/>
    <x v="6"/>
    <n v="115000"/>
    <n v="140000"/>
  </r>
  <r>
    <x v="2"/>
    <x v="7"/>
    <n v="120000"/>
    <n v="140000"/>
  </r>
  <r>
    <x v="2"/>
    <x v="8"/>
    <n v="130000"/>
    <n v="140000"/>
  </r>
  <r>
    <x v="2"/>
    <x v="9"/>
    <n v="125000"/>
    <n v="150000"/>
  </r>
  <r>
    <x v="2"/>
    <x v="10"/>
    <n v="130000"/>
    <n v="150000"/>
  </r>
  <r>
    <x v="2"/>
    <x v="11"/>
    <n v="140000"/>
    <n v="150000"/>
  </r>
  <r>
    <x v="3"/>
    <x v="0"/>
    <n v="115000"/>
    <n v="120000"/>
  </r>
  <r>
    <x v="3"/>
    <x v="1"/>
    <n v="118000"/>
    <n v="120000"/>
  </r>
  <r>
    <x v="3"/>
    <x v="2"/>
    <n v="120000"/>
    <n v="120000"/>
  </r>
  <r>
    <x v="3"/>
    <x v="3"/>
    <n v="115000"/>
    <n v="130000"/>
  </r>
  <r>
    <x v="3"/>
    <x v="4"/>
    <n v="110000"/>
    <n v="130000"/>
  </r>
  <r>
    <x v="3"/>
    <x v="5"/>
    <n v="100000"/>
    <n v="130000"/>
  </r>
  <r>
    <x v="3"/>
    <x v="6"/>
    <n v="110000"/>
    <n v="140000"/>
  </r>
  <r>
    <x v="3"/>
    <x v="7"/>
    <n v="120000"/>
    <n v="140000"/>
  </r>
  <r>
    <x v="3"/>
    <x v="8"/>
    <n v="125000"/>
    <n v="140000"/>
  </r>
  <r>
    <x v="3"/>
    <x v="9"/>
    <n v="120000"/>
    <n v="150000"/>
  </r>
  <r>
    <x v="3"/>
    <x v="10"/>
    <n v="115000"/>
    <n v="150000"/>
  </r>
  <r>
    <x v="3"/>
    <x v="11"/>
    <n v="120000"/>
    <n v="150000"/>
  </r>
  <r>
    <x v="4"/>
    <x v="0"/>
    <n v="125000"/>
    <n v="120000"/>
  </r>
  <r>
    <x v="4"/>
    <x v="1"/>
    <n v="120000"/>
    <n v="120000"/>
  </r>
  <r>
    <x v="4"/>
    <x v="2"/>
    <n v="115000"/>
    <n v="120000"/>
  </r>
  <r>
    <x v="4"/>
    <x v="3"/>
    <n v="125000"/>
    <n v="130000"/>
  </r>
  <r>
    <x v="4"/>
    <x v="4"/>
    <n v="130000"/>
    <n v="130000"/>
  </r>
  <r>
    <x v="4"/>
    <x v="5"/>
    <n v="120000"/>
    <n v="130000"/>
  </r>
  <r>
    <x v="4"/>
    <x v="6"/>
    <n v="115000"/>
    <n v="140000"/>
  </r>
  <r>
    <x v="4"/>
    <x v="7"/>
    <n v="120000"/>
    <n v="140000"/>
  </r>
  <r>
    <x v="4"/>
    <x v="8"/>
    <n v="120000"/>
    <n v="140000"/>
  </r>
  <r>
    <x v="4"/>
    <x v="9"/>
    <n v="125000"/>
    <n v="150000"/>
  </r>
  <r>
    <x v="4"/>
    <x v="10"/>
    <n v="130000"/>
    <n v="150000"/>
  </r>
  <r>
    <x v="4"/>
    <x v="11"/>
    <n v="130000"/>
    <n v="150000"/>
  </r>
  <r>
    <x v="5"/>
    <x v="0"/>
    <n v="110000"/>
    <n v="120000"/>
  </r>
  <r>
    <x v="5"/>
    <x v="1"/>
    <n v="116000"/>
    <n v="120000"/>
  </r>
  <r>
    <x v="5"/>
    <x v="2"/>
    <n v="120000"/>
    <n v="120000"/>
  </r>
  <r>
    <x v="5"/>
    <x v="3"/>
    <n v="115000"/>
    <n v="130000"/>
  </r>
  <r>
    <x v="5"/>
    <x v="4"/>
    <n v="120000"/>
    <n v="130000"/>
  </r>
  <r>
    <x v="5"/>
    <x v="5"/>
    <n v="125000"/>
    <n v="130000"/>
  </r>
  <r>
    <x v="5"/>
    <x v="6"/>
    <n v="130000"/>
    <n v="140000"/>
  </r>
  <r>
    <x v="5"/>
    <x v="7"/>
    <n v="125000"/>
    <n v="140000"/>
  </r>
  <r>
    <x v="5"/>
    <x v="8"/>
    <n v="120000"/>
    <n v="140000"/>
  </r>
  <r>
    <x v="5"/>
    <x v="9"/>
    <n v="117000"/>
    <n v="150000"/>
  </r>
  <r>
    <x v="5"/>
    <x v="10"/>
    <n v="120000"/>
    <n v="150000"/>
  </r>
  <r>
    <x v="5"/>
    <x v="11"/>
    <n v="125000"/>
    <n v="150000"/>
  </r>
  <r>
    <x v="6"/>
    <x v="0"/>
    <n v="125000"/>
    <n v="120000"/>
  </r>
  <r>
    <x v="6"/>
    <x v="1"/>
    <n v="120000"/>
    <n v="120000"/>
  </r>
  <r>
    <x v="6"/>
    <x v="2"/>
    <n v="115000"/>
    <n v="120000"/>
  </r>
  <r>
    <x v="6"/>
    <x v="3"/>
    <n v="125000"/>
    <n v="130000"/>
  </r>
  <r>
    <x v="6"/>
    <x v="4"/>
    <n v="125000"/>
    <n v="130000"/>
  </r>
  <r>
    <x v="6"/>
    <x v="5"/>
    <n v="130000"/>
    <n v="130000"/>
  </r>
  <r>
    <x v="6"/>
    <x v="6"/>
    <n v="120000"/>
    <n v="140000"/>
  </r>
  <r>
    <x v="6"/>
    <x v="7"/>
    <n v="120000"/>
    <n v="140000"/>
  </r>
  <r>
    <x v="6"/>
    <x v="8"/>
    <n v="130000"/>
    <n v="140000"/>
  </r>
  <r>
    <x v="6"/>
    <x v="9"/>
    <n v="135000"/>
    <n v="150000"/>
  </r>
  <r>
    <x v="6"/>
    <x v="10"/>
    <n v="130000"/>
    <n v="150000"/>
  </r>
  <r>
    <x v="6"/>
    <x v="11"/>
    <n v="120000"/>
    <n v="150000"/>
  </r>
  <r>
    <x v="7"/>
    <x v="0"/>
    <n v="110000"/>
    <n v="120000"/>
  </r>
  <r>
    <x v="7"/>
    <x v="1"/>
    <n v="115000"/>
    <n v="120000"/>
  </r>
  <r>
    <x v="7"/>
    <x v="2"/>
    <n v="115000"/>
    <n v="120000"/>
  </r>
  <r>
    <x v="7"/>
    <x v="3"/>
    <n v="110000"/>
    <n v="130000"/>
  </r>
  <r>
    <x v="7"/>
    <x v="4"/>
    <n v="100000"/>
    <n v="130000"/>
  </r>
  <r>
    <x v="7"/>
    <x v="5"/>
    <n v="116000"/>
    <n v="130000"/>
  </r>
  <r>
    <x v="7"/>
    <x v="6"/>
    <n v="120000"/>
    <n v="140000"/>
  </r>
  <r>
    <x v="7"/>
    <x v="7"/>
    <n v="115000"/>
    <n v="140000"/>
  </r>
  <r>
    <x v="7"/>
    <x v="8"/>
    <n v="120000"/>
    <n v="140000"/>
  </r>
  <r>
    <x v="7"/>
    <x v="9"/>
    <n v="125000"/>
    <n v="150000"/>
  </r>
  <r>
    <x v="7"/>
    <x v="10"/>
    <n v="128000"/>
    <n v="150000"/>
  </r>
  <r>
    <x v="7"/>
    <x v="11"/>
    <n v="130000"/>
    <n v="150000"/>
  </r>
  <r>
    <x v="8"/>
    <x v="0"/>
    <n v="130000"/>
    <n v="120000"/>
  </r>
  <r>
    <x v="8"/>
    <x v="1"/>
    <n v="125000"/>
    <n v="120000"/>
  </r>
  <r>
    <x v="8"/>
    <x v="2"/>
    <n v="125000"/>
    <n v="120000"/>
  </r>
  <r>
    <x v="8"/>
    <x v="3"/>
    <n v="122000"/>
    <n v="130000"/>
  </r>
  <r>
    <x v="8"/>
    <x v="4"/>
    <n v="120000"/>
    <n v="130000"/>
  </r>
  <r>
    <x v="8"/>
    <x v="5"/>
    <n v="115000"/>
    <n v="130000"/>
  </r>
  <r>
    <x v="8"/>
    <x v="6"/>
    <n v="110000"/>
    <n v="140000"/>
  </r>
  <r>
    <x v="8"/>
    <x v="7"/>
    <n v="120000"/>
    <n v="140000"/>
  </r>
  <r>
    <x v="8"/>
    <x v="8"/>
    <n v="125000"/>
    <n v="140000"/>
  </r>
  <r>
    <x v="8"/>
    <x v="9"/>
    <n v="125000"/>
    <n v="150000"/>
  </r>
  <r>
    <x v="8"/>
    <x v="10"/>
    <n v="122000"/>
    <n v="150000"/>
  </r>
  <r>
    <x v="8"/>
    <x v="11"/>
    <n v="129000"/>
    <n v="150000"/>
  </r>
  <r>
    <x v="9"/>
    <x v="0"/>
    <n v="150000"/>
    <n v="120000"/>
  </r>
  <r>
    <x v="9"/>
    <x v="1"/>
    <n v="117000"/>
    <n v="120000"/>
  </r>
  <r>
    <x v="9"/>
    <x v="2"/>
    <n v="115000"/>
    <n v="120000"/>
  </r>
  <r>
    <x v="9"/>
    <x v="3"/>
    <n v="120000"/>
    <n v="130000"/>
  </r>
  <r>
    <x v="9"/>
    <x v="4"/>
    <n v="118000"/>
    <n v="130000"/>
  </r>
  <r>
    <x v="9"/>
    <x v="5"/>
    <n v="125000"/>
    <n v="130000"/>
  </r>
  <r>
    <x v="9"/>
    <x v="6"/>
    <n v="125000"/>
    <n v="140000"/>
  </r>
  <r>
    <x v="9"/>
    <x v="7"/>
    <n v="120000"/>
    <n v="140000"/>
  </r>
  <r>
    <x v="9"/>
    <x v="8"/>
    <n v="130000"/>
    <n v="140000"/>
  </r>
  <r>
    <x v="9"/>
    <x v="9"/>
    <n v="128000"/>
    <n v="150000"/>
  </r>
  <r>
    <x v="9"/>
    <x v="10"/>
    <n v="120000"/>
    <n v="150000"/>
  </r>
  <r>
    <x v="9"/>
    <x v="11"/>
    <n v="120000"/>
    <n v="15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ela dinâmica2" cacheId="0" applyNumberFormats="0" applyBorderFormats="0" applyFontFormats="0" applyPatternFormats="0" applyAlignmentFormats="0" applyWidthHeightFormats="1" dataCaption="Valores" updatedVersion="5" minRefreshableVersion="3" useAutoFormatting="1" itemPrintTitles="1" createdVersion="5" indent="0" outline="1" outlineData="1" multipleFieldFilters="0" chartFormat="39">
  <location ref="B4:D15" firstHeaderRow="0" firstDataRow="1" firstDataCol="1"/>
  <pivotFields count="4">
    <pivotField axis="axisRow" showAll="0">
      <items count="11">
        <item sd="0" x="3"/>
        <item sd="0" x="4"/>
        <item sd="0" x="6"/>
        <item sd="0" x="0"/>
        <item sd="0" x="1"/>
        <item sd="0" x="7"/>
        <item sd="0" x="5"/>
        <item sd="0" x="2"/>
        <item sd="0" x="8"/>
        <item sd="0" x="9"/>
        <item t="default" sd="0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numFmtId="3" showAll="0"/>
    <pivotField dataField="1" showAll="0" defaultSubtotal="0"/>
  </pivotFields>
  <rowFields count="2">
    <field x="0"/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-2"/>
  </colFields>
  <colItems count="2">
    <i>
      <x/>
    </i>
    <i i="1">
      <x v="1"/>
    </i>
  </colItems>
  <dataFields count="2">
    <dataField name="Vendas" fld="2" baseField="0" baseItem="0" numFmtId="164"/>
    <dataField name="Meta anual" fld="3" baseField="0" baseItem="0" numFmtId="164"/>
  </dataFields>
  <formats count="1">
    <format dxfId="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</format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21" totalsRowShown="0" headerRowDxfId="5">
  <autoFilter ref="A1:D121" xr:uid="{00000000-0009-0000-0100-000001000000}"/>
  <tableColumns count="4">
    <tableColumn id="1" xr3:uid="{00000000-0010-0000-0000-000001000000}" name="Vendedor" dataDxfId="4"/>
    <tableColumn id="2" xr3:uid="{00000000-0010-0000-0000-000002000000}" name="Mês" dataDxfId="3"/>
    <tableColumn id="3" xr3:uid="{00000000-0010-0000-0000-000003000000}" name="Valor" dataDxfId="2"/>
    <tableColumn id="5" xr3:uid="{00000000-0010-0000-0000-000005000000}" name="Meta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121"/>
  <sheetViews>
    <sheetView workbookViewId="0"/>
  </sheetViews>
  <sheetFormatPr defaultRowHeight="15" x14ac:dyDescent="0.25"/>
  <cols>
    <col min="1" max="1" width="12" style="4" customWidth="1"/>
    <col min="2" max="2" width="9.140625" style="4"/>
    <col min="3" max="3" width="10.140625" style="4" customWidth="1"/>
    <col min="4" max="4" width="9.140625" style="4"/>
  </cols>
  <sheetData>
    <row r="1" spans="1:4" x14ac:dyDescent="0.25">
      <c r="A1" s="6" t="s">
        <v>0</v>
      </c>
      <c r="B1" s="6" t="s">
        <v>25</v>
      </c>
      <c r="C1" s="6" t="s">
        <v>26</v>
      </c>
      <c r="D1" s="6" t="s">
        <v>27</v>
      </c>
    </row>
    <row r="2" spans="1:4" x14ac:dyDescent="0.25">
      <c r="A2" s="4" t="s">
        <v>13</v>
      </c>
      <c r="B2" s="4" t="s">
        <v>1</v>
      </c>
      <c r="C2" s="1">
        <v>120000</v>
      </c>
      <c r="D2" s="1">
        <v>120000</v>
      </c>
    </row>
    <row r="3" spans="1:4" x14ac:dyDescent="0.25">
      <c r="A3" s="4" t="s">
        <v>13</v>
      </c>
      <c r="B3" s="4" t="s">
        <v>2</v>
      </c>
      <c r="C3" s="1">
        <v>100000</v>
      </c>
      <c r="D3" s="1">
        <v>120000</v>
      </c>
    </row>
    <row r="4" spans="1:4" x14ac:dyDescent="0.25">
      <c r="A4" s="4" t="s">
        <v>13</v>
      </c>
      <c r="B4" s="4" t="s">
        <v>3</v>
      </c>
      <c r="C4" s="1">
        <v>115000</v>
      </c>
      <c r="D4" s="1">
        <v>120000</v>
      </c>
    </row>
    <row r="5" spans="1:4" x14ac:dyDescent="0.25">
      <c r="A5" s="4" t="s">
        <v>13</v>
      </c>
      <c r="B5" s="4" t="s">
        <v>4</v>
      </c>
      <c r="C5" s="1">
        <v>130000</v>
      </c>
      <c r="D5" s="1">
        <v>130000</v>
      </c>
    </row>
    <row r="6" spans="1:4" x14ac:dyDescent="0.25">
      <c r="A6" s="4" t="s">
        <v>13</v>
      </c>
      <c r="B6" s="4" t="s">
        <v>5</v>
      </c>
      <c r="C6" s="1">
        <v>120000</v>
      </c>
      <c r="D6" s="1">
        <v>130000</v>
      </c>
    </row>
    <row r="7" spans="1:4" x14ac:dyDescent="0.25">
      <c r="A7" s="4" t="s">
        <v>13</v>
      </c>
      <c r="B7" s="4" t="s">
        <v>6</v>
      </c>
      <c r="C7" s="1">
        <v>125000</v>
      </c>
      <c r="D7" s="1">
        <v>130000</v>
      </c>
    </row>
    <row r="8" spans="1:4" x14ac:dyDescent="0.25">
      <c r="A8" s="4" t="s">
        <v>13</v>
      </c>
      <c r="B8" s="4" t="s">
        <v>7</v>
      </c>
      <c r="C8" s="1">
        <v>150000</v>
      </c>
      <c r="D8" s="1">
        <v>140000</v>
      </c>
    </row>
    <row r="9" spans="1:4" x14ac:dyDescent="0.25">
      <c r="A9" s="4" t="s">
        <v>13</v>
      </c>
      <c r="B9" s="4" t="s">
        <v>8</v>
      </c>
      <c r="C9" s="1">
        <v>155000</v>
      </c>
      <c r="D9" s="1">
        <v>140000</v>
      </c>
    </row>
    <row r="10" spans="1:4" x14ac:dyDescent="0.25">
      <c r="A10" s="4" t="s">
        <v>13</v>
      </c>
      <c r="B10" s="4" t="s">
        <v>9</v>
      </c>
      <c r="C10" s="1">
        <v>140000</v>
      </c>
      <c r="D10" s="1">
        <v>140000</v>
      </c>
    </row>
    <row r="11" spans="1:4" x14ac:dyDescent="0.25">
      <c r="A11" s="4" t="s">
        <v>13</v>
      </c>
      <c r="B11" s="4" t="s">
        <v>10</v>
      </c>
      <c r="C11" s="1">
        <v>150000</v>
      </c>
      <c r="D11" s="1">
        <v>150000</v>
      </c>
    </row>
    <row r="12" spans="1:4" x14ac:dyDescent="0.25">
      <c r="A12" s="4" t="s">
        <v>13</v>
      </c>
      <c r="B12" s="4" t="s">
        <v>11</v>
      </c>
      <c r="C12" s="1">
        <v>160000</v>
      </c>
      <c r="D12" s="1">
        <v>150000</v>
      </c>
    </row>
    <row r="13" spans="1:4" x14ac:dyDescent="0.25">
      <c r="A13" s="4" t="s">
        <v>13</v>
      </c>
      <c r="B13" s="4" t="s">
        <v>12</v>
      </c>
      <c r="C13" s="1">
        <v>200000</v>
      </c>
      <c r="D13" s="1">
        <v>150000</v>
      </c>
    </row>
    <row r="14" spans="1:4" x14ac:dyDescent="0.25">
      <c r="A14" s="4" t="s">
        <v>14</v>
      </c>
      <c r="B14" s="4" t="s">
        <v>1</v>
      </c>
      <c r="C14" s="1">
        <v>110000</v>
      </c>
      <c r="D14" s="1">
        <v>120000</v>
      </c>
    </row>
    <row r="15" spans="1:4" x14ac:dyDescent="0.25">
      <c r="A15" s="4" t="s">
        <v>14</v>
      </c>
      <c r="B15" s="4" t="s">
        <v>2</v>
      </c>
      <c r="C15" s="1">
        <v>120000</v>
      </c>
      <c r="D15" s="1">
        <v>120000</v>
      </c>
    </row>
    <row r="16" spans="1:4" x14ac:dyDescent="0.25">
      <c r="A16" s="4" t="s">
        <v>14</v>
      </c>
      <c r="B16" s="4" t="s">
        <v>3</v>
      </c>
      <c r="C16" s="1">
        <v>120000</v>
      </c>
      <c r="D16" s="1">
        <v>120000</v>
      </c>
    </row>
    <row r="17" spans="1:4" x14ac:dyDescent="0.25">
      <c r="A17" s="4" t="s">
        <v>14</v>
      </c>
      <c r="B17" s="4" t="s">
        <v>4</v>
      </c>
      <c r="C17" s="1">
        <v>115000</v>
      </c>
      <c r="D17" s="1">
        <v>130000</v>
      </c>
    </row>
    <row r="18" spans="1:4" x14ac:dyDescent="0.25">
      <c r="A18" s="4" t="s">
        <v>14</v>
      </c>
      <c r="B18" s="4" t="s">
        <v>5</v>
      </c>
      <c r="C18" s="1">
        <v>125000</v>
      </c>
      <c r="D18" s="1">
        <v>130000</v>
      </c>
    </row>
    <row r="19" spans="1:4" x14ac:dyDescent="0.25">
      <c r="A19" s="4" t="s">
        <v>14</v>
      </c>
      <c r="B19" s="4" t="s">
        <v>6</v>
      </c>
      <c r="C19" s="1">
        <v>130000</v>
      </c>
      <c r="D19" s="1">
        <v>130000</v>
      </c>
    </row>
    <row r="20" spans="1:4" x14ac:dyDescent="0.25">
      <c r="A20" s="4" t="s">
        <v>14</v>
      </c>
      <c r="B20" s="4" t="s">
        <v>7</v>
      </c>
      <c r="C20" s="1">
        <v>120000</v>
      </c>
      <c r="D20" s="1">
        <v>140000</v>
      </c>
    </row>
    <row r="21" spans="1:4" x14ac:dyDescent="0.25">
      <c r="A21" s="4" t="s">
        <v>14</v>
      </c>
      <c r="B21" s="4" t="s">
        <v>8</v>
      </c>
      <c r="C21" s="1">
        <v>115000</v>
      </c>
      <c r="D21" s="1">
        <v>140000</v>
      </c>
    </row>
    <row r="22" spans="1:4" x14ac:dyDescent="0.25">
      <c r="A22" s="4" t="s">
        <v>14</v>
      </c>
      <c r="B22" s="4" t="s">
        <v>9</v>
      </c>
      <c r="C22" s="1">
        <v>125000</v>
      </c>
      <c r="D22" s="1">
        <v>140000</v>
      </c>
    </row>
    <row r="23" spans="1:4" x14ac:dyDescent="0.25">
      <c r="A23" s="4" t="s">
        <v>14</v>
      </c>
      <c r="B23" s="4" t="s">
        <v>10</v>
      </c>
      <c r="C23" s="1">
        <v>130000</v>
      </c>
      <c r="D23" s="1">
        <v>150000</v>
      </c>
    </row>
    <row r="24" spans="1:4" x14ac:dyDescent="0.25">
      <c r="A24" s="4" t="s">
        <v>14</v>
      </c>
      <c r="B24" s="4" t="s">
        <v>11</v>
      </c>
      <c r="C24" s="1">
        <v>125000</v>
      </c>
      <c r="D24" s="1">
        <v>150000</v>
      </c>
    </row>
    <row r="25" spans="1:4" x14ac:dyDescent="0.25">
      <c r="A25" s="4" t="s">
        <v>14</v>
      </c>
      <c r="B25" s="4" t="s">
        <v>12</v>
      </c>
      <c r="C25" s="1">
        <v>125000</v>
      </c>
      <c r="D25" s="1">
        <v>150000</v>
      </c>
    </row>
    <row r="26" spans="1:4" x14ac:dyDescent="0.25">
      <c r="A26" s="4" t="s">
        <v>15</v>
      </c>
      <c r="B26" s="4" t="s">
        <v>1</v>
      </c>
      <c r="C26" s="1">
        <v>120000</v>
      </c>
      <c r="D26" s="1">
        <v>120000</v>
      </c>
    </row>
    <row r="27" spans="1:4" x14ac:dyDescent="0.25">
      <c r="A27" s="4" t="s">
        <v>15</v>
      </c>
      <c r="B27" s="4" t="s">
        <v>2</v>
      </c>
      <c r="C27" s="1">
        <v>115000</v>
      </c>
      <c r="D27" s="1">
        <v>120000</v>
      </c>
    </row>
    <row r="28" spans="1:4" x14ac:dyDescent="0.25">
      <c r="A28" s="4" t="s">
        <v>15</v>
      </c>
      <c r="B28" s="4" t="s">
        <v>3</v>
      </c>
      <c r="C28" s="1">
        <v>118000</v>
      </c>
      <c r="D28" s="1">
        <v>120000</v>
      </c>
    </row>
    <row r="29" spans="1:4" x14ac:dyDescent="0.25">
      <c r="A29" s="4" t="s">
        <v>15</v>
      </c>
      <c r="B29" s="4" t="s">
        <v>4</v>
      </c>
      <c r="C29" s="1">
        <v>120000</v>
      </c>
      <c r="D29" s="1">
        <v>130000</v>
      </c>
    </row>
    <row r="30" spans="1:4" x14ac:dyDescent="0.25">
      <c r="A30" s="4" t="s">
        <v>15</v>
      </c>
      <c r="B30" s="4" t="s">
        <v>5</v>
      </c>
      <c r="C30" s="1">
        <v>125000</v>
      </c>
      <c r="D30" s="1">
        <v>130000</v>
      </c>
    </row>
    <row r="31" spans="1:4" x14ac:dyDescent="0.25">
      <c r="A31" s="4" t="s">
        <v>15</v>
      </c>
      <c r="B31" s="4" t="s">
        <v>6</v>
      </c>
      <c r="C31" s="1">
        <v>120000</v>
      </c>
      <c r="D31" s="1">
        <v>130000</v>
      </c>
    </row>
    <row r="32" spans="1:4" x14ac:dyDescent="0.25">
      <c r="A32" s="4" t="s">
        <v>15</v>
      </c>
      <c r="B32" s="4" t="s">
        <v>7</v>
      </c>
      <c r="C32" s="1">
        <v>115000</v>
      </c>
      <c r="D32" s="1">
        <v>140000</v>
      </c>
    </row>
    <row r="33" spans="1:4" x14ac:dyDescent="0.25">
      <c r="A33" s="4" t="s">
        <v>15</v>
      </c>
      <c r="B33" s="4" t="s">
        <v>8</v>
      </c>
      <c r="C33" s="1">
        <v>120000</v>
      </c>
      <c r="D33" s="1">
        <v>140000</v>
      </c>
    </row>
    <row r="34" spans="1:4" x14ac:dyDescent="0.25">
      <c r="A34" s="4" t="s">
        <v>15</v>
      </c>
      <c r="B34" s="4" t="s">
        <v>9</v>
      </c>
      <c r="C34" s="1">
        <v>130000</v>
      </c>
      <c r="D34" s="1">
        <v>140000</v>
      </c>
    </row>
    <row r="35" spans="1:4" x14ac:dyDescent="0.25">
      <c r="A35" s="4" t="s">
        <v>15</v>
      </c>
      <c r="B35" s="4" t="s">
        <v>10</v>
      </c>
      <c r="C35" s="1">
        <v>125000</v>
      </c>
      <c r="D35" s="1">
        <v>150000</v>
      </c>
    </row>
    <row r="36" spans="1:4" x14ac:dyDescent="0.25">
      <c r="A36" s="4" t="s">
        <v>15</v>
      </c>
      <c r="B36" s="4" t="s">
        <v>11</v>
      </c>
      <c r="C36" s="1">
        <v>130000</v>
      </c>
      <c r="D36" s="1">
        <v>150000</v>
      </c>
    </row>
    <row r="37" spans="1:4" x14ac:dyDescent="0.25">
      <c r="A37" s="4" t="s">
        <v>15</v>
      </c>
      <c r="B37" s="4" t="s">
        <v>12</v>
      </c>
      <c r="C37" s="1">
        <v>140000</v>
      </c>
      <c r="D37" s="1">
        <v>150000</v>
      </c>
    </row>
    <row r="38" spans="1:4" x14ac:dyDescent="0.25">
      <c r="A38" s="4" t="s">
        <v>16</v>
      </c>
      <c r="B38" s="4" t="s">
        <v>1</v>
      </c>
      <c r="C38" s="1">
        <v>115000</v>
      </c>
      <c r="D38" s="1">
        <v>120000</v>
      </c>
    </row>
    <row r="39" spans="1:4" x14ac:dyDescent="0.25">
      <c r="A39" s="4" t="s">
        <v>16</v>
      </c>
      <c r="B39" s="4" t="s">
        <v>2</v>
      </c>
      <c r="C39" s="1">
        <v>118000</v>
      </c>
      <c r="D39" s="1">
        <v>120000</v>
      </c>
    </row>
    <row r="40" spans="1:4" x14ac:dyDescent="0.25">
      <c r="A40" s="4" t="s">
        <v>16</v>
      </c>
      <c r="B40" s="4" t="s">
        <v>3</v>
      </c>
      <c r="C40" s="1">
        <v>120000</v>
      </c>
      <c r="D40" s="1">
        <v>120000</v>
      </c>
    </row>
    <row r="41" spans="1:4" x14ac:dyDescent="0.25">
      <c r="A41" s="4" t="s">
        <v>16</v>
      </c>
      <c r="B41" s="4" t="s">
        <v>4</v>
      </c>
      <c r="C41" s="1">
        <v>115000</v>
      </c>
      <c r="D41" s="1">
        <v>130000</v>
      </c>
    </row>
    <row r="42" spans="1:4" x14ac:dyDescent="0.25">
      <c r="A42" s="4" t="s">
        <v>16</v>
      </c>
      <c r="B42" s="4" t="s">
        <v>5</v>
      </c>
      <c r="C42" s="1">
        <v>110000</v>
      </c>
      <c r="D42" s="1">
        <v>130000</v>
      </c>
    </row>
    <row r="43" spans="1:4" x14ac:dyDescent="0.25">
      <c r="A43" s="4" t="s">
        <v>16</v>
      </c>
      <c r="B43" s="4" t="s">
        <v>6</v>
      </c>
      <c r="C43" s="1">
        <v>100000</v>
      </c>
      <c r="D43" s="1">
        <v>130000</v>
      </c>
    </row>
    <row r="44" spans="1:4" x14ac:dyDescent="0.25">
      <c r="A44" s="4" t="s">
        <v>16</v>
      </c>
      <c r="B44" s="4" t="s">
        <v>7</v>
      </c>
      <c r="C44" s="1">
        <v>110000</v>
      </c>
      <c r="D44" s="1">
        <v>140000</v>
      </c>
    </row>
    <row r="45" spans="1:4" x14ac:dyDescent="0.25">
      <c r="A45" s="4" t="s">
        <v>16</v>
      </c>
      <c r="B45" s="4" t="s">
        <v>8</v>
      </c>
      <c r="C45" s="1">
        <v>120000</v>
      </c>
      <c r="D45" s="1">
        <v>140000</v>
      </c>
    </row>
    <row r="46" spans="1:4" x14ac:dyDescent="0.25">
      <c r="A46" s="4" t="s">
        <v>16</v>
      </c>
      <c r="B46" s="4" t="s">
        <v>9</v>
      </c>
      <c r="C46" s="1">
        <v>125000</v>
      </c>
      <c r="D46" s="1">
        <v>140000</v>
      </c>
    </row>
    <row r="47" spans="1:4" x14ac:dyDescent="0.25">
      <c r="A47" s="4" t="s">
        <v>16</v>
      </c>
      <c r="B47" s="4" t="s">
        <v>10</v>
      </c>
      <c r="C47" s="1">
        <v>120000</v>
      </c>
      <c r="D47" s="1">
        <v>150000</v>
      </c>
    </row>
    <row r="48" spans="1:4" x14ac:dyDescent="0.25">
      <c r="A48" s="4" t="s">
        <v>16</v>
      </c>
      <c r="B48" s="4" t="s">
        <v>11</v>
      </c>
      <c r="C48" s="1">
        <v>115000</v>
      </c>
      <c r="D48" s="1">
        <v>150000</v>
      </c>
    </row>
    <row r="49" spans="1:4" x14ac:dyDescent="0.25">
      <c r="A49" s="4" t="s">
        <v>16</v>
      </c>
      <c r="B49" s="4" t="s">
        <v>12</v>
      </c>
      <c r="C49" s="1">
        <v>120000</v>
      </c>
      <c r="D49" s="1">
        <v>150000</v>
      </c>
    </row>
    <row r="50" spans="1:4" x14ac:dyDescent="0.25">
      <c r="A50" s="4" t="s">
        <v>17</v>
      </c>
      <c r="B50" s="4" t="s">
        <v>1</v>
      </c>
      <c r="C50" s="1">
        <v>125000</v>
      </c>
      <c r="D50" s="1">
        <v>120000</v>
      </c>
    </row>
    <row r="51" spans="1:4" x14ac:dyDescent="0.25">
      <c r="A51" s="4" t="s">
        <v>17</v>
      </c>
      <c r="B51" s="4" t="s">
        <v>2</v>
      </c>
      <c r="C51" s="1">
        <v>120000</v>
      </c>
      <c r="D51" s="1">
        <v>120000</v>
      </c>
    </row>
    <row r="52" spans="1:4" x14ac:dyDescent="0.25">
      <c r="A52" s="4" t="s">
        <v>17</v>
      </c>
      <c r="B52" s="4" t="s">
        <v>3</v>
      </c>
      <c r="C52" s="1">
        <v>115000</v>
      </c>
      <c r="D52" s="1">
        <v>120000</v>
      </c>
    </row>
    <row r="53" spans="1:4" x14ac:dyDescent="0.25">
      <c r="A53" s="4" t="s">
        <v>17</v>
      </c>
      <c r="B53" s="4" t="s">
        <v>4</v>
      </c>
      <c r="C53" s="1">
        <v>125000</v>
      </c>
      <c r="D53" s="1">
        <v>130000</v>
      </c>
    </row>
    <row r="54" spans="1:4" x14ac:dyDescent="0.25">
      <c r="A54" s="4" t="s">
        <v>17</v>
      </c>
      <c r="B54" s="4" t="s">
        <v>5</v>
      </c>
      <c r="C54" s="1">
        <v>130000</v>
      </c>
      <c r="D54" s="1">
        <v>130000</v>
      </c>
    </row>
    <row r="55" spans="1:4" x14ac:dyDescent="0.25">
      <c r="A55" s="4" t="s">
        <v>17</v>
      </c>
      <c r="B55" s="4" t="s">
        <v>6</v>
      </c>
      <c r="C55" s="1">
        <v>120000</v>
      </c>
      <c r="D55" s="1">
        <v>130000</v>
      </c>
    </row>
    <row r="56" spans="1:4" x14ac:dyDescent="0.25">
      <c r="A56" s="4" t="s">
        <v>17</v>
      </c>
      <c r="B56" s="4" t="s">
        <v>7</v>
      </c>
      <c r="C56" s="1">
        <v>115000</v>
      </c>
      <c r="D56" s="1">
        <v>140000</v>
      </c>
    </row>
    <row r="57" spans="1:4" x14ac:dyDescent="0.25">
      <c r="A57" s="4" t="s">
        <v>17</v>
      </c>
      <c r="B57" s="4" t="s">
        <v>8</v>
      </c>
      <c r="C57" s="1">
        <v>120000</v>
      </c>
      <c r="D57" s="1">
        <v>140000</v>
      </c>
    </row>
    <row r="58" spans="1:4" x14ac:dyDescent="0.25">
      <c r="A58" s="4" t="s">
        <v>17</v>
      </c>
      <c r="B58" s="4" t="s">
        <v>9</v>
      </c>
      <c r="C58" s="1">
        <v>120000</v>
      </c>
      <c r="D58" s="1">
        <v>140000</v>
      </c>
    </row>
    <row r="59" spans="1:4" x14ac:dyDescent="0.25">
      <c r="A59" s="4" t="s">
        <v>17</v>
      </c>
      <c r="B59" s="4" t="s">
        <v>10</v>
      </c>
      <c r="C59" s="1">
        <v>125000</v>
      </c>
      <c r="D59" s="1">
        <v>150000</v>
      </c>
    </row>
    <row r="60" spans="1:4" x14ac:dyDescent="0.25">
      <c r="A60" s="4" t="s">
        <v>17</v>
      </c>
      <c r="B60" s="4" t="s">
        <v>11</v>
      </c>
      <c r="C60" s="1">
        <v>130000</v>
      </c>
      <c r="D60" s="1">
        <v>150000</v>
      </c>
    </row>
    <row r="61" spans="1:4" x14ac:dyDescent="0.25">
      <c r="A61" s="4" t="s">
        <v>17</v>
      </c>
      <c r="B61" s="4" t="s">
        <v>12</v>
      </c>
      <c r="C61" s="1">
        <v>130000</v>
      </c>
      <c r="D61" s="1">
        <v>150000</v>
      </c>
    </row>
    <row r="62" spans="1:4" x14ac:dyDescent="0.25">
      <c r="A62" s="4" t="s">
        <v>18</v>
      </c>
      <c r="B62" s="4" t="s">
        <v>1</v>
      </c>
      <c r="C62" s="1">
        <v>110000</v>
      </c>
      <c r="D62" s="1">
        <v>120000</v>
      </c>
    </row>
    <row r="63" spans="1:4" x14ac:dyDescent="0.25">
      <c r="A63" s="4" t="s">
        <v>18</v>
      </c>
      <c r="B63" s="4" t="s">
        <v>2</v>
      </c>
      <c r="C63" s="1">
        <v>116000</v>
      </c>
      <c r="D63" s="1">
        <v>120000</v>
      </c>
    </row>
    <row r="64" spans="1:4" x14ac:dyDescent="0.25">
      <c r="A64" s="4" t="s">
        <v>18</v>
      </c>
      <c r="B64" s="4" t="s">
        <v>3</v>
      </c>
      <c r="C64" s="1">
        <v>120000</v>
      </c>
      <c r="D64" s="1">
        <v>120000</v>
      </c>
    </row>
    <row r="65" spans="1:4" x14ac:dyDescent="0.25">
      <c r="A65" s="4" t="s">
        <v>18</v>
      </c>
      <c r="B65" s="4" t="s">
        <v>4</v>
      </c>
      <c r="C65" s="1">
        <v>115000</v>
      </c>
      <c r="D65" s="1">
        <v>130000</v>
      </c>
    </row>
    <row r="66" spans="1:4" x14ac:dyDescent="0.25">
      <c r="A66" s="4" t="s">
        <v>18</v>
      </c>
      <c r="B66" s="4" t="s">
        <v>5</v>
      </c>
      <c r="C66" s="1">
        <v>120000</v>
      </c>
      <c r="D66" s="1">
        <v>130000</v>
      </c>
    </row>
    <row r="67" spans="1:4" x14ac:dyDescent="0.25">
      <c r="A67" s="4" t="s">
        <v>18</v>
      </c>
      <c r="B67" s="4" t="s">
        <v>6</v>
      </c>
      <c r="C67" s="1">
        <v>125000</v>
      </c>
      <c r="D67" s="1">
        <v>130000</v>
      </c>
    </row>
    <row r="68" spans="1:4" x14ac:dyDescent="0.25">
      <c r="A68" s="4" t="s">
        <v>18</v>
      </c>
      <c r="B68" s="4" t="s">
        <v>7</v>
      </c>
      <c r="C68" s="1">
        <v>130000</v>
      </c>
      <c r="D68" s="1">
        <v>140000</v>
      </c>
    </row>
    <row r="69" spans="1:4" x14ac:dyDescent="0.25">
      <c r="A69" s="4" t="s">
        <v>18</v>
      </c>
      <c r="B69" s="4" t="s">
        <v>8</v>
      </c>
      <c r="C69" s="1">
        <v>125000</v>
      </c>
      <c r="D69" s="1">
        <v>140000</v>
      </c>
    </row>
    <row r="70" spans="1:4" x14ac:dyDescent="0.25">
      <c r="A70" s="4" t="s">
        <v>18</v>
      </c>
      <c r="B70" s="4" t="s">
        <v>9</v>
      </c>
      <c r="C70" s="1">
        <v>120000</v>
      </c>
      <c r="D70" s="1">
        <v>140000</v>
      </c>
    </row>
    <row r="71" spans="1:4" x14ac:dyDescent="0.25">
      <c r="A71" s="4" t="s">
        <v>18</v>
      </c>
      <c r="B71" s="4" t="s">
        <v>10</v>
      </c>
      <c r="C71" s="1">
        <v>117000</v>
      </c>
      <c r="D71" s="1">
        <v>150000</v>
      </c>
    </row>
    <row r="72" spans="1:4" x14ac:dyDescent="0.25">
      <c r="A72" s="4" t="s">
        <v>18</v>
      </c>
      <c r="B72" s="4" t="s">
        <v>11</v>
      </c>
      <c r="C72" s="1">
        <v>120000</v>
      </c>
      <c r="D72" s="1">
        <v>150000</v>
      </c>
    </row>
    <row r="73" spans="1:4" x14ac:dyDescent="0.25">
      <c r="A73" s="4" t="s">
        <v>18</v>
      </c>
      <c r="B73" s="4" t="s">
        <v>12</v>
      </c>
      <c r="C73" s="1">
        <v>125000</v>
      </c>
      <c r="D73" s="1">
        <v>150000</v>
      </c>
    </row>
    <row r="74" spans="1:4" x14ac:dyDescent="0.25">
      <c r="A74" s="4" t="s">
        <v>19</v>
      </c>
      <c r="B74" s="4" t="s">
        <v>1</v>
      </c>
      <c r="C74" s="1">
        <v>125000</v>
      </c>
      <c r="D74" s="1">
        <v>120000</v>
      </c>
    </row>
    <row r="75" spans="1:4" x14ac:dyDescent="0.25">
      <c r="A75" s="4" t="s">
        <v>19</v>
      </c>
      <c r="B75" s="4" t="s">
        <v>2</v>
      </c>
      <c r="C75" s="1">
        <v>120000</v>
      </c>
      <c r="D75" s="1">
        <v>120000</v>
      </c>
    </row>
    <row r="76" spans="1:4" x14ac:dyDescent="0.25">
      <c r="A76" s="4" t="s">
        <v>19</v>
      </c>
      <c r="B76" s="4" t="s">
        <v>3</v>
      </c>
      <c r="C76" s="1">
        <v>115000</v>
      </c>
      <c r="D76" s="1">
        <v>120000</v>
      </c>
    </row>
    <row r="77" spans="1:4" x14ac:dyDescent="0.25">
      <c r="A77" s="4" t="s">
        <v>19</v>
      </c>
      <c r="B77" s="4" t="s">
        <v>4</v>
      </c>
      <c r="C77" s="1">
        <v>125000</v>
      </c>
      <c r="D77" s="1">
        <v>130000</v>
      </c>
    </row>
    <row r="78" spans="1:4" x14ac:dyDescent="0.25">
      <c r="A78" s="4" t="s">
        <v>19</v>
      </c>
      <c r="B78" s="4" t="s">
        <v>5</v>
      </c>
      <c r="C78" s="1">
        <v>125000</v>
      </c>
      <c r="D78" s="1">
        <v>130000</v>
      </c>
    </row>
    <row r="79" spans="1:4" x14ac:dyDescent="0.25">
      <c r="A79" s="4" t="s">
        <v>19</v>
      </c>
      <c r="B79" s="4" t="s">
        <v>6</v>
      </c>
      <c r="C79" s="1">
        <v>130000</v>
      </c>
      <c r="D79" s="1">
        <v>130000</v>
      </c>
    </row>
    <row r="80" spans="1:4" x14ac:dyDescent="0.25">
      <c r="A80" s="4" t="s">
        <v>19</v>
      </c>
      <c r="B80" s="4" t="s">
        <v>7</v>
      </c>
      <c r="C80" s="1">
        <v>120000</v>
      </c>
      <c r="D80" s="1">
        <v>140000</v>
      </c>
    </row>
    <row r="81" spans="1:4" x14ac:dyDescent="0.25">
      <c r="A81" s="4" t="s">
        <v>19</v>
      </c>
      <c r="B81" s="4" t="s">
        <v>8</v>
      </c>
      <c r="C81" s="1">
        <v>120000</v>
      </c>
      <c r="D81" s="1">
        <v>140000</v>
      </c>
    </row>
    <row r="82" spans="1:4" x14ac:dyDescent="0.25">
      <c r="A82" s="4" t="s">
        <v>19</v>
      </c>
      <c r="B82" s="4" t="s">
        <v>9</v>
      </c>
      <c r="C82" s="1">
        <v>130000</v>
      </c>
      <c r="D82" s="1">
        <v>140000</v>
      </c>
    </row>
    <row r="83" spans="1:4" x14ac:dyDescent="0.25">
      <c r="A83" s="4" t="s">
        <v>19</v>
      </c>
      <c r="B83" s="4" t="s">
        <v>10</v>
      </c>
      <c r="C83" s="1">
        <v>135000</v>
      </c>
      <c r="D83" s="1">
        <v>150000</v>
      </c>
    </row>
    <row r="84" spans="1:4" x14ac:dyDescent="0.25">
      <c r="A84" s="4" t="s">
        <v>19</v>
      </c>
      <c r="B84" s="4" t="s">
        <v>11</v>
      </c>
      <c r="C84" s="1">
        <v>130000</v>
      </c>
      <c r="D84" s="1">
        <v>150000</v>
      </c>
    </row>
    <row r="85" spans="1:4" x14ac:dyDescent="0.25">
      <c r="A85" s="4" t="s">
        <v>19</v>
      </c>
      <c r="B85" s="4" t="s">
        <v>12</v>
      </c>
      <c r="C85" s="1">
        <v>120000</v>
      </c>
      <c r="D85" s="1">
        <v>150000</v>
      </c>
    </row>
    <row r="86" spans="1:4" x14ac:dyDescent="0.25">
      <c r="A86" s="4" t="s">
        <v>20</v>
      </c>
      <c r="B86" s="4" t="s">
        <v>1</v>
      </c>
      <c r="C86" s="1">
        <v>110000</v>
      </c>
      <c r="D86" s="1">
        <v>120000</v>
      </c>
    </row>
    <row r="87" spans="1:4" x14ac:dyDescent="0.25">
      <c r="A87" s="4" t="s">
        <v>20</v>
      </c>
      <c r="B87" s="4" t="s">
        <v>2</v>
      </c>
      <c r="C87" s="1">
        <v>115000</v>
      </c>
      <c r="D87" s="1">
        <v>120000</v>
      </c>
    </row>
    <row r="88" spans="1:4" x14ac:dyDescent="0.25">
      <c r="A88" s="4" t="s">
        <v>20</v>
      </c>
      <c r="B88" s="4" t="s">
        <v>3</v>
      </c>
      <c r="C88" s="1">
        <v>115000</v>
      </c>
      <c r="D88" s="1">
        <v>120000</v>
      </c>
    </row>
    <row r="89" spans="1:4" x14ac:dyDescent="0.25">
      <c r="A89" s="4" t="s">
        <v>20</v>
      </c>
      <c r="B89" s="4" t="s">
        <v>4</v>
      </c>
      <c r="C89" s="1">
        <v>110000</v>
      </c>
      <c r="D89" s="1">
        <v>130000</v>
      </c>
    </row>
    <row r="90" spans="1:4" x14ac:dyDescent="0.25">
      <c r="A90" s="4" t="s">
        <v>20</v>
      </c>
      <c r="B90" s="4" t="s">
        <v>5</v>
      </c>
      <c r="C90" s="1">
        <v>100000</v>
      </c>
      <c r="D90" s="1">
        <v>130000</v>
      </c>
    </row>
    <row r="91" spans="1:4" x14ac:dyDescent="0.25">
      <c r="A91" s="4" t="s">
        <v>20</v>
      </c>
      <c r="B91" s="4" t="s">
        <v>6</v>
      </c>
      <c r="C91" s="1">
        <v>116000</v>
      </c>
      <c r="D91" s="1">
        <v>130000</v>
      </c>
    </row>
    <row r="92" spans="1:4" x14ac:dyDescent="0.25">
      <c r="A92" s="4" t="s">
        <v>20</v>
      </c>
      <c r="B92" s="4" t="s">
        <v>7</v>
      </c>
      <c r="C92" s="1">
        <v>120000</v>
      </c>
      <c r="D92" s="1">
        <v>140000</v>
      </c>
    </row>
    <row r="93" spans="1:4" x14ac:dyDescent="0.25">
      <c r="A93" s="4" t="s">
        <v>20</v>
      </c>
      <c r="B93" s="4" t="s">
        <v>8</v>
      </c>
      <c r="C93" s="1">
        <v>115000</v>
      </c>
      <c r="D93" s="1">
        <v>140000</v>
      </c>
    </row>
    <row r="94" spans="1:4" x14ac:dyDescent="0.25">
      <c r="A94" s="4" t="s">
        <v>20</v>
      </c>
      <c r="B94" s="4" t="s">
        <v>9</v>
      </c>
      <c r="C94" s="1">
        <v>120000</v>
      </c>
      <c r="D94" s="1">
        <v>140000</v>
      </c>
    </row>
    <row r="95" spans="1:4" x14ac:dyDescent="0.25">
      <c r="A95" s="4" t="s">
        <v>20</v>
      </c>
      <c r="B95" s="4" t="s">
        <v>10</v>
      </c>
      <c r="C95" s="1">
        <v>125000</v>
      </c>
      <c r="D95" s="1">
        <v>150000</v>
      </c>
    </row>
    <row r="96" spans="1:4" x14ac:dyDescent="0.25">
      <c r="A96" s="4" t="s">
        <v>20</v>
      </c>
      <c r="B96" s="4" t="s">
        <v>11</v>
      </c>
      <c r="C96" s="1">
        <v>128000</v>
      </c>
      <c r="D96" s="1">
        <v>150000</v>
      </c>
    </row>
    <row r="97" spans="1:4" x14ac:dyDescent="0.25">
      <c r="A97" s="4" t="s">
        <v>20</v>
      </c>
      <c r="B97" s="4" t="s">
        <v>12</v>
      </c>
      <c r="C97" s="1">
        <v>130000</v>
      </c>
      <c r="D97" s="1">
        <v>150000</v>
      </c>
    </row>
    <row r="98" spans="1:4" x14ac:dyDescent="0.25">
      <c r="A98" s="4" t="s">
        <v>21</v>
      </c>
      <c r="B98" s="4" t="s">
        <v>1</v>
      </c>
      <c r="C98" s="1">
        <v>130000</v>
      </c>
      <c r="D98" s="1">
        <v>120000</v>
      </c>
    </row>
    <row r="99" spans="1:4" x14ac:dyDescent="0.25">
      <c r="A99" s="4" t="s">
        <v>21</v>
      </c>
      <c r="B99" s="4" t="s">
        <v>2</v>
      </c>
      <c r="C99" s="1">
        <v>125000</v>
      </c>
      <c r="D99" s="1">
        <v>120000</v>
      </c>
    </row>
    <row r="100" spans="1:4" x14ac:dyDescent="0.25">
      <c r="A100" s="4" t="s">
        <v>21</v>
      </c>
      <c r="B100" s="4" t="s">
        <v>3</v>
      </c>
      <c r="C100" s="1">
        <v>125000</v>
      </c>
      <c r="D100" s="1">
        <v>120000</v>
      </c>
    </row>
    <row r="101" spans="1:4" x14ac:dyDescent="0.25">
      <c r="A101" s="4" t="s">
        <v>21</v>
      </c>
      <c r="B101" s="4" t="s">
        <v>4</v>
      </c>
      <c r="C101" s="1">
        <v>122000</v>
      </c>
      <c r="D101" s="1">
        <v>130000</v>
      </c>
    </row>
    <row r="102" spans="1:4" x14ac:dyDescent="0.25">
      <c r="A102" s="4" t="s">
        <v>21</v>
      </c>
      <c r="B102" s="4" t="s">
        <v>5</v>
      </c>
      <c r="C102" s="1">
        <v>120000</v>
      </c>
      <c r="D102" s="1">
        <v>130000</v>
      </c>
    </row>
    <row r="103" spans="1:4" x14ac:dyDescent="0.25">
      <c r="A103" s="4" t="s">
        <v>21</v>
      </c>
      <c r="B103" s="4" t="s">
        <v>6</v>
      </c>
      <c r="C103" s="1">
        <v>115000</v>
      </c>
      <c r="D103" s="1">
        <v>130000</v>
      </c>
    </row>
    <row r="104" spans="1:4" x14ac:dyDescent="0.25">
      <c r="A104" s="4" t="s">
        <v>21</v>
      </c>
      <c r="B104" s="4" t="s">
        <v>7</v>
      </c>
      <c r="C104" s="1">
        <v>110000</v>
      </c>
      <c r="D104" s="1">
        <v>140000</v>
      </c>
    </row>
    <row r="105" spans="1:4" x14ac:dyDescent="0.25">
      <c r="A105" s="4" t="s">
        <v>21</v>
      </c>
      <c r="B105" s="4" t="s">
        <v>8</v>
      </c>
      <c r="C105" s="1">
        <v>120000</v>
      </c>
      <c r="D105" s="1">
        <v>140000</v>
      </c>
    </row>
    <row r="106" spans="1:4" x14ac:dyDescent="0.25">
      <c r="A106" s="4" t="s">
        <v>21</v>
      </c>
      <c r="B106" s="4" t="s">
        <v>9</v>
      </c>
      <c r="C106" s="1">
        <v>125000</v>
      </c>
      <c r="D106" s="1">
        <v>140000</v>
      </c>
    </row>
    <row r="107" spans="1:4" x14ac:dyDescent="0.25">
      <c r="A107" s="4" t="s">
        <v>21</v>
      </c>
      <c r="B107" s="4" t="s">
        <v>10</v>
      </c>
      <c r="C107" s="1">
        <v>125000</v>
      </c>
      <c r="D107" s="1">
        <v>150000</v>
      </c>
    </row>
    <row r="108" spans="1:4" x14ac:dyDescent="0.25">
      <c r="A108" s="4" t="s">
        <v>21</v>
      </c>
      <c r="B108" s="4" t="s">
        <v>11</v>
      </c>
      <c r="C108" s="1">
        <v>122000</v>
      </c>
      <c r="D108" s="1">
        <v>150000</v>
      </c>
    </row>
    <row r="109" spans="1:4" x14ac:dyDescent="0.25">
      <c r="A109" s="4" t="s">
        <v>21</v>
      </c>
      <c r="B109" s="4" t="s">
        <v>12</v>
      </c>
      <c r="C109" s="1">
        <v>129000</v>
      </c>
      <c r="D109" s="1">
        <v>150000</v>
      </c>
    </row>
    <row r="110" spans="1:4" x14ac:dyDescent="0.25">
      <c r="A110" s="4" t="s">
        <v>22</v>
      </c>
      <c r="B110" s="4" t="s">
        <v>1</v>
      </c>
      <c r="C110" s="1">
        <v>150000</v>
      </c>
      <c r="D110" s="1">
        <v>120000</v>
      </c>
    </row>
    <row r="111" spans="1:4" x14ac:dyDescent="0.25">
      <c r="A111" s="4" t="s">
        <v>22</v>
      </c>
      <c r="B111" s="4" t="s">
        <v>2</v>
      </c>
      <c r="C111" s="1">
        <v>121000</v>
      </c>
      <c r="D111" s="1">
        <v>120000</v>
      </c>
    </row>
    <row r="112" spans="1:4" x14ac:dyDescent="0.25">
      <c r="A112" s="4" t="s">
        <v>22</v>
      </c>
      <c r="B112" s="4" t="s">
        <v>3</v>
      </c>
      <c r="C112" s="1">
        <v>122000</v>
      </c>
      <c r="D112" s="1">
        <v>120000</v>
      </c>
    </row>
    <row r="113" spans="1:4" x14ac:dyDescent="0.25">
      <c r="A113" s="4" t="s">
        <v>22</v>
      </c>
      <c r="B113" s="4" t="s">
        <v>4</v>
      </c>
      <c r="C113" s="1">
        <v>123000</v>
      </c>
      <c r="D113" s="1">
        <v>130000</v>
      </c>
    </row>
    <row r="114" spans="1:4" x14ac:dyDescent="0.25">
      <c r="A114" s="4" t="s">
        <v>22</v>
      </c>
      <c r="B114" s="4" t="s">
        <v>5</v>
      </c>
      <c r="C114" s="1">
        <v>124000</v>
      </c>
      <c r="D114" s="1">
        <v>130000</v>
      </c>
    </row>
    <row r="115" spans="1:4" x14ac:dyDescent="0.25">
      <c r="A115" s="4" t="s">
        <v>22</v>
      </c>
      <c r="B115" s="4" t="s">
        <v>6</v>
      </c>
      <c r="C115" s="1">
        <v>125000</v>
      </c>
      <c r="D115" s="1">
        <v>130000</v>
      </c>
    </row>
    <row r="116" spans="1:4" x14ac:dyDescent="0.25">
      <c r="A116" s="4" t="s">
        <v>22</v>
      </c>
      <c r="B116" s="4" t="s">
        <v>7</v>
      </c>
      <c r="C116" s="1">
        <v>125000</v>
      </c>
      <c r="D116" s="1">
        <v>140000</v>
      </c>
    </row>
    <row r="117" spans="1:4" x14ac:dyDescent="0.25">
      <c r="A117" s="4" t="s">
        <v>22</v>
      </c>
      <c r="B117" s="4" t="s">
        <v>8</v>
      </c>
      <c r="C117" s="1">
        <v>130000</v>
      </c>
      <c r="D117" s="1">
        <v>140000</v>
      </c>
    </row>
    <row r="118" spans="1:4" x14ac:dyDescent="0.25">
      <c r="A118" s="4" t="s">
        <v>22</v>
      </c>
      <c r="B118" s="4" t="s">
        <v>9</v>
      </c>
      <c r="C118" s="1">
        <v>132000</v>
      </c>
      <c r="D118" s="1">
        <v>140000</v>
      </c>
    </row>
    <row r="119" spans="1:4" x14ac:dyDescent="0.25">
      <c r="A119" s="4" t="s">
        <v>22</v>
      </c>
      <c r="B119" s="4" t="s">
        <v>10</v>
      </c>
      <c r="C119" s="1">
        <v>128000</v>
      </c>
      <c r="D119" s="1">
        <v>150000</v>
      </c>
    </row>
    <row r="120" spans="1:4" x14ac:dyDescent="0.25">
      <c r="A120" s="4" t="s">
        <v>22</v>
      </c>
      <c r="B120" s="4" t="s">
        <v>11</v>
      </c>
      <c r="C120" s="1">
        <v>137000</v>
      </c>
      <c r="D120" s="1">
        <v>150000</v>
      </c>
    </row>
    <row r="121" spans="1:4" x14ac:dyDescent="0.25">
      <c r="A121" s="4" t="s">
        <v>22</v>
      </c>
      <c r="B121" s="4" t="s">
        <v>12</v>
      </c>
      <c r="C121" s="1">
        <v>140000</v>
      </c>
      <c r="D121" s="1">
        <v>150000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4:J18"/>
  <sheetViews>
    <sheetView workbookViewId="0">
      <selection activeCell="M9" sqref="M9"/>
    </sheetView>
  </sheetViews>
  <sheetFormatPr defaultRowHeight="15" x14ac:dyDescent="0.25"/>
  <cols>
    <col min="2" max="2" width="18" bestFit="1" customWidth="1"/>
    <col min="3" max="3" width="7.85546875" customWidth="1"/>
    <col min="4" max="4" width="11" customWidth="1"/>
    <col min="5" max="5" width="12.5703125" bestFit="1" customWidth="1"/>
    <col min="6" max="6" width="12.140625" bestFit="1" customWidth="1"/>
    <col min="7" max="7" width="12.42578125" bestFit="1" customWidth="1"/>
    <col min="8" max="8" width="17.5703125" bestFit="1" customWidth="1"/>
    <col min="9" max="9" width="12.7109375" customWidth="1"/>
    <col min="10" max="10" width="7.85546875" customWidth="1"/>
    <col min="11" max="11" width="7.140625" bestFit="1" customWidth="1"/>
    <col min="12" max="12" width="12.5703125" bestFit="1" customWidth="1"/>
    <col min="13" max="13" width="12.28515625" bestFit="1" customWidth="1"/>
  </cols>
  <sheetData>
    <row r="4" spans="2:10" x14ac:dyDescent="0.25">
      <c r="B4" s="2" t="s">
        <v>23</v>
      </c>
      <c r="C4" t="s">
        <v>31</v>
      </c>
      <c r="D4" t="s">
        <v>28</v>
      </c>
      <c r="E4" t="s">
        <v>51</v>
      </c>
      <c r="F4" t="s">
        <v>0</v>
      </c>
      <c r="G4" s="8" t="str">
        <f>"Vendas mensais de "&amp;F17</f>
        <v>Vendas mensais de José</v>
      </c>
      <c r="H4" s="8"/>
    </row>
    <row r="5" spans="2:10" x14ac:dyDescent="0.25">
      <c r="B5" s="3" t="s">
        <v>16</v>
      </c>
      <c r="C5" s="5">
        <v>1388000</v>
      </c>
      <c r="D5" s="5">
        <v>1620000</v>
      </c>
      <c r="E5">
        <v>1</v>
      </c>
      <c r="F5" t="s">
        <v>16</v>
      </c>
      <c r="G5" s="11" t="s">
        <v>25</v>
      </c>
      <c r="H5" s="12" t="s">
        <v>32</v>
      </c>
      <c r="I5" s="9" t="s">
        <v>30</v>
      </c>
      <c r="J5" s="28" t="s">
        <v>50</v>
      </c>
    </row>
    <row r="6" spans="2:10" x14ac:dyDescent="0.25">
      <c r="B6" s="3" t="s">
        <v>17</v>
      </c>
      <c r="C6" s="5">
        <v>1475000</v>
      </c>
      <c r="D6" s="5">
        <v>1620000</v>
      </c>
      <c r="E6">
        <v>2</v>
      </c>
      <c r="F6" t="s">
        <v>17</v>
      </c>
      <c r="G6" s="10" t="s">
        <v>1</v>
      </c>
      <c r="H6" s="32">
        <f>SUMIFS(Dados!C:C,Dados!A:A,$F$17,Dados!B:B,G6)</f>
        <v>110000</v>
      </c>
      <c r="I6" s="33">
        <f>SUMIFS(Dados!D:D,Dados!A:A,$F$17,Dados!B:B,G6)</f>
        <v>120000</v>
      </c>
      <c r="J6" s="29">
        <f>(H6/I6)-1</f>
        <v>-8.333333333333337E-2</v>
      </c>
    </row>
    <row r="7" spans="2:10" x14ac:dyDescent="0.25">
      <c r="B7" s="3" t="s">
        <v>19</v>
      </c>
      <c r="C7" s="5">
        <v>1495000</v>
      </c>
      <c r="D7" s="5">
        <v>1620000</v>
      </c>
      <c r="E7">
        <v>3</v>
      </c>
      <c r="F7" t="s">
        <v>19</v>
      </c>
      <c r="G7" s="10" t="s">
        <v>2</v>
      </c>
      <c r="H7" s="32">
        <f>SUMIFS(Dados!C:C,Dados!A:A,$F$17,Dados!B:B,G7)</f>
        <v>120000</v>
      </c>
      <c r="I7" s="33">
        <f>SUMIFS(Dados!D:D,Dados!A:A,$F$17,Dados!B:B,G7)</f>
        <v>120000</v>
      </c>
      <c r="J7" s="29">
        <f t="shared" ref="J7:J17" si="0">(H7/I7)-1</f>
        <v>0</v>
      </c>
    </row>
    <row r="8" spans="2:10" x14ac:dyDescent="0.25">
      <c r="B8" s="3" t="s">
        <v>13</v>
      </c>
      <c r="C8" s="5">
        <v>1665000</v>
      </c>
      <c r="D8" s="5">
        <v>1620000</v>
      </c>
      <c r="E8">
        <v>4</v>
      </c>
      <c r="F8" t="s">
        <v>13</v>
      </c>
      <c r="G8" s="10" t="s">
        <v>3</v>
      </c>
      <c r="H8" s="32">
        <f>SUMIFS(Dados!C:C,Dados!A:A,$F$17,Dados!B:B,G8)</f>
        <v>120000</v>
      </c>
      <c r="I8" s="33">
        <f>SUMIFS(Dados!D:D,Dados!A:A,$F$17,Dados!B:B,G8)</f>
        <v>120000</v>
      </c>
      <c r="J8" s="29">
        <f t="shared" si="0"/>
        <v>0</v>
      </c>
    </row>
    <row r="9" spans="2:10" x14ac:dyDescent="0.25">
      <c r="B9" s="3" t="s">
        <v>14</v>
      </c>
      <c r="C9" s="5">
        <v>1460000</v>
      </c>
      <c r="D9" s="5">
        <v>1620000</v>
      </c>
      <c r="E9">
        <v>5</v>
      </c>
      <c r="F9" t="s">
        <v>14</v>
      </c>
      <c r="G9" s="10" t="s">
        <v>4</v>
      </c>
      <c r="H9" s="32">
        <f>SUMIFS(Dados!C:C,Dados!A:A,$F$17,Dados!B:B,G9)</f>
        <v>115000</v>
      </c>
      <c r="I9" s="33">
        <f>SUMIFS(Dados!D:D,Dados!A:A,$F$17,Dados!B:B,G9)</f>
        <v>130000</v>
      </c>
      <c r="J9" s="29">
        <f t="shared" si="0"/>
        <v>-0.11538461538461542</v>
      </c>
    </row>
    <row r="10" spans="2:10" x14ac:dyDescent="0.25">
      <c r="B10" s="3" t="s">
        <v>20</v>
      </c>
      <c r="C10" s="5">
        <v>1404000</v>
      </c>
      <c r="D10" s="5">
        <v>1620000</v>
      </c>
      <c r="E10">
        <v>6</v>
      </c>
      <c r="F10" t="s">
        <v>20</v>
      </c>
      <c r="G10" s="10" t="s">
        <v>5</v>
      </c>
      <c r="H10" s="32">
        <f>SUMIFS(Dados!C:C,Dados!A:A,$F$17,Dados!B:B,G10)</f>
        <v>125000</v>
      </c>
      <c r="I10" s="33">
        <f>SUMIFS(Dados!D:D,Dados!A:A,$F$17,Dados!B:B,G10)</f>
        <v>130000</v>
      </c>
      <c r="J10" s="29">
        <f t="shared" si="0"/>
        <v>-3.8461538461538436E-2</v>
      </c>
    </row>
    <row r="11" spans="2:10" x14ac:dyDescent="0.25">
      <c r="B11" s="3" t="s">
        <v>18</v>
      </c>
      <c r="C11" s="5">
        <v>1443000</v>
      </c>
      <c r="D11" s="5">
        <v>1620000</v>
      </c>
      <c r="E11">
        <v>7</v>
      </c>
      <c r="F11" t="s">
        <v>18</v>
      </c>
      <c r="G11" s="10" t="s">
        <v>6</v>
      </c>
      <c r="H11" s="32">
        <f>SUMIFS(Dados!C:C,Dados!A:A,$F$17,Dados!B:B,G11)</f>
        <v>130000</v>
      </c>
      <c r="I11" s="33">
        <f>SUMIFS(Dados!D:D,Dados!A:A,$F$17,Dados!B:B,G11)</f>
        <v>130000</v>
      </c>
      <c r="J11" s="29">
        <f t="shared" si="0"/>
        <v>0</v>
      </c>
    </row>
    <row r="12" spans="2:10" x14ac:dyDescent="0.25">
      <c r="B12" s="3" t="s">
        <v>15</v>
      </c>
      <c r="C12" s="5">
        <v>1478000</v>
      </c>
      <c r="D12" s="5">
        <v>1620000</v>
      </c>
      <c r="E12">
        <v>8</v>
      </c>
      <c r="F12" t="s">
        <v>15</v>
      </c>
      <c r="G12" s="10" t="s">
        <v>7</v>
      </c>
      <c r="H12" s="32">
        <f>SUMIFS(Dados!C:C,Dados!A:A,$F$17,Dados!B:B,G12)</f>
        <v>120000</v>
      </c>
      <c r="I12" s="33">
        <f>SUMIFS(Dados!D:D,Dados!A:A,$F$17,Dados!B:B,G12)</f>
        <v>140000</v>
      </c>
      <c r="J12" s="29">
        <f t="shared" si="0"/>
        <v>-0.1428571428571429</v>
      </c>
    </row>
    <row r="13" spans="2:10" x14ac:dyDescent="0.25">
      <c r="B13" s="3" t="s">
        <v>21</v>
      </c>
      <c r="C13" s="5">
        <v>1468000</v>
      </c>
      <c r="D13" s="5">
        <v>1620000</v>
      </c>
      <c r="E13">
        <v>9</v>
      </c>
      <c r="F13" t="s">
        <v>21</v>
      </c>
      <c r="G13" s="10" t="s">
        <v>8</v>
      </c>
      <c r="H13" s="32">
        <f>SUMIFS(Dados!C:C,Dados!A:A,$F$17,Dados!B:B,G13)</f>
        <v>115000</v>
      </c>
      <c r="I13" s="33">
        <f>SUMIFS(Dados!D:D,Dados!A:A,$F$17,Dados!B:B,G13)</f>
        <v>140000</v>
      </c>
      <c r="J13" s="29">
        <f t="shared" si="0"/>
        <v>-0.1785714285714286</v>
      </c>
    </row>
    <row r="14" spans="2:10" x14ac:dyDescent="0.25">
      <c r="B14" s="3" t="s">
        <v>22</v>
      </c>
      <c r="C14" s="5">
        <v>1488000</v>
      </c>
      <c r="D14" s="5">
        <v>1620000</v>
      </c>
      <c r="E14">
        <v>10</v>
      </c>
      <c r="F14" t="s">
        <v>22</v>
      </c>
      <c r="G14" s="10" t="s">
        <v>9</v>
      </c>
      <c r="H14" s="32">
        <f>SUMIFS(Dados!C:C,Dados!A:A,$F$17,Dados!B:B,G14)</f>
        <v>125000</v>
      </c>
      <c r="I14" s="33">
        <f>SUMIFS(Dados!D:D,Dados!A:A,$F$17,Dados!B:B,G14)</f>
        <v>140000</v>
      </c>
      <c r="J14" s="29">
        <f t="shared" si="0"/>
        <v>-0.1071428571428571</v>
      </c>
    </row>
    <row r="15" spans="2:10" x14ac:dyDescent="0.25">
      <c r="B15" s="3" t="s">
        <v>24</v>
      </c>
      <c r="C15" s="5">
        <v>14764000</v>
      </c>
      <c r="D15" s="5">
        <v>16200000</v>
      </c>
      <c r="G15" s="10" t="s">
        <v>10</v>
      </c>
      <c r="H15" s="32">
        <f>SUMIFS(Dados!C:C,Dados!A:A,$F$17,Dados!B:B,G15)</f>
        <v>130000</v>
      </c>
      <c r="I15" s="33">
        <f>SUMIFS(Dados!D:D,Dados!A:A,$F$17,Dados!B:B,G15)</f>
        <v>150000</v>
      </c>
      <c r="J15" s="29">
        <f t="shared" si="0"/>
        <v>-0.1333333333333333</v>
      </c>
    </row>
    <row r="16" spans="2:10" x14ac:dyDescent="0.25">
      <c r="G16" s="10" t="s">
        <v>11</v>
      </c>
      <c r="H16" s="32">
        <f>SUMIFS(Dados!C:C,Dados!A:A,$F$17,Dados!B:B,G16)</f>
        <v>125000</v>
      </c>
      <c r="I16" s="33">
        <f>SUMIFS(Dados!D:D,Dados!A:A,$F$17,Dados!B:B,G16)</f>
        <v>150000</v>
      </c>
      <c r="J16" s="29">
        <f t="shared" si="0"/>
        <v>-0.16666666666666663</v>
      </c>
    </row>
    <row r="17" spans="5:10" x14ac:dyDescent="0.25">
      <c r="E17" s="8" t="s">
        <v>29</v>
      </c>
      <c r="F17" s="7" t="str">
        <f>VLOOKUP(Dashboard!V2,$E$5:$F$14,2,FALSE)</f>
        <v>José</v>
      </c>
      <c r="G17" s="10" t="s">
        <v>12</v>
      </c>
      <c r="H17" s="32">
        <f>SUMIFS(Dados!C:C,Dados!A:A,$F$17,Dados!B:B,G17)</f>
        <v>125000</v>
      </c>
      <c r="I17" s="33">
        <f>SUMIFS(Dados!D:D,Dados!A:A,$F$17,Dados!B:B,G17)</f>
        <v>150000</v>
      </c>
      <c r="J17" s="29">
        <f t="shared" si="0"/>
        <v>-0.16666666666666663</v>
      </c>
    </row>
    <row r="18" spans="5:10" x14ac:dyDescent="0.25">
      <c r="H18" s="32">
        <f>SUM(H6:H17)</f>
        <v>1460000</v>
      </c>
      <c r="I18" s="27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C2:V21"/>
  <sheetViews>
    <sheetView showGridLines="0" tabSelected="1" workbookViewId="0">
      <selection activeCell="T21" sqref="T21"/>
    </sheetView>
  </sheetViews>
  <sheetFormatPr defaultRowHeight="15" x14ac:dyDescent="0.25"/>
  <cols>
    <col min="5" max="5" width="7" customWidth="1"/>
    <col min="6" max="6" width="9.7109375" customWidth="1"/>
    <col min="7" max="7" width="11" customWidth="1"/>
    <col min="9" max="9" width="8.7109375" customWidth="1"/>
    <col min="10" max="10" width="5.28515625" customWidth="1"/>
    <col min="11" max="11" width="12.140625" bestFit="1" customWidth="1"/>
    <col min="13" max="13" width="3.42578125" customWidth="1"/>
    <col min="15" max="15" width="12.28515625" customWidth="1"/>
    <col min="16" max="16" width="8.28515625" customWidth="1"/>
  </cols>
  <sheetData>
    <row r="2" spans="3:22" x14ac:dyDescent="0.25">
      <c r="V2">
        <v>5</v>
      </c>
    </row>
    <row r="16" spans="3:22" ht="18.75" x14ac:dyDescent="0.4">
      <c r="C16" s="25" t="str">
        <f>Rótulos!A1</f>
        <v>Total de vendas no ano: 14.764.000</v>
      </c>
      <c r="D16" s="13"/>
      <c r="E16" s="13"/>
      <c r="F16" s="13"/>
      <c r="G16" s="13"/>
      <c r="H16" s="21"/>
      <c r="I16" s="21"/>
      <c r="K16" s="25" t="str">
        <f>Rótulos!A13</f>
        <v>Total de vendas no mês: 1.460.000</v>
      </c>
      <c r="L16" s="13"/>
      <c r="M16" s="13"/>
      <c r="N16" s="13"/>
      <c r="O16" s="13"/>
      <c r="P16" s="21"/>
      <c r="Q16" s="21"/>
    </row>
    <row r="17" spans="3:17" x14ac:dyDescent="0.25">
      <c r="H17" s="21"/>
      <c r="I17" s="21"/>
      <c r="P17" s="21"/>
      <c r="Q17" s="21"/>
    </row>
    <row r="18" spans="3:17" x14ac:dyDescent="0.25">
      <c r="C18" s="16" t="str">
        <f>Rótulos!A2</f>
        <v>Melhor Vendedor: João</v>
      </c>
      <c r="D18" s="16"/>
      <c r="E18" s="16"/>
      <c r="F18" s="16" t="str">
        <f>Rótulos!A4</f>
        <v xml:space="preserve">% da meta: 2,78% ▲ </v>
      </c>
      <c r="G18" s="16"/>
      <c r="H18" s="30" t="str">
        <f>Rótulos!A6</f>
        <v>% do total: 11,277%</v>
      </c>
      <c r="I18" s="30"/>
      <c r="K18" s="16" t="str">
        <f>Rótulos!A14</f>
        <v>Melhor mês: Fevereiro</v>
      </c>
      <c r="L18" s="16"/>
      <c r="M18" s="16"/>
      <c r="N18" s="16" t="str">
        <f>Rótulos!A16</f>
        <v>% da meta: 0,00%</v>
      </c>
      <c r="O18" s="16"/>
      <c r="P18" s="30" t="str">
        <f>Rótulos!A18</f>
        <v>% do total: 9,89%</v>
      </c>
      <c r="Q18" s="30"/>
    </row>
    <row r="19" spans="3:17" x14ac:dyDescent="0.25">
      <c r="C19" s="16" t="str">
        <f>Rótulos!A3</f>
        <v>Maior valor: 1.665.000</v>
      </c>
      <c r="D19" s="16"/>
      <c r="E19" s="16"/>
      <c r="F19" s="16" t="str">
        <f>Rótulos!A5</f>
        <v>Condição: Excelente</v>
      </c>
      <c r="G19" s="16"/>
      <c r="H19" s="30"/>
      <c r="I19" s="30"/>
      <c r="K19" s="16" t="str">
        <f>Rótulos!A15</f>
        <v>Valor: 120.000</v>
      </c>
      <c r="L19" s="16"/>
      <c r="M19" s="16"/>
      <c r="N19" s="16" t="str">
        <f>Rótulos!A17</f>
        <v>Condição: Excelente</v>
      </c>
      <c r="O19" s="16"/>
      <c r="P19" s="30"/>
      <c r="Q19" s="30"/>
    </row>
    <row r="20" spans="3:17" x14ac:dyDescent="0.25">
      <c r="C20" s="17" t="str">
        <f>Rótulos!A7</f>
        <v>Pior Vendedor: Ana</v>
      </c>
      <c r="D20" s="17"/>
      <c r="E20" s="17"/>
      <c r="F20" s="17" t="str">
        <f>Rótulos!A9</f>
        <v xml:space="preserve">% da meta: -14,32% ▼ </v>
      </c>
      <c r="G20" s="17"/>
      <c r="H20" s="31" t="str">
        <f>Rótulos!A11</f>
        <v>% do total: 9,4%</v>
      </c>
      <c r="I20" s="31"/>
      <c r="K20" s="17" t="str">
        <f>Rótulos!A19</f>
        <v>Pior mês: Agosto</v>
      </c>
      <c r="L20" s="17"/>
      <c r="M20" s="17"/>
      <c r="N20" s="17" t="str">
        <f>Rótulos!A21</f>
        <v xml:space="preserve">% da meta: -21,43% ▼ </v>
      </c>
      <c r="O20" s="17"/>
    </row>
    <row r="21" spans="3:17" x14ac:dyDescent="0.25">
      <c r="C21" s="17" t="str">
        <f>Rótulos!A8</f>
        <v>Menor valor: 1.388.000</v>
      </c>
      <c r="D21" s="17"/>
      <c r="E21" s="17"/>
      <c r="F21" s="17" t="str">
        <f>Rótulos!A10</f>
        <v>Condição: Ruim</v>
      </c>
      <c r="G21" s="17"/>
      <c r="H21" s="31"/>
      <c r="I21" s="31"/>
      <c r="K21" s="17" t="str">
        <f>Rótulos!A20</f>
        <v>Valor: 110.000</v>
      </c>
      <c r="L21" s="17"/>
      <c r="M21" s="17"/>
      <c r="N21" s="17" t="str">
        <f>Rótulos!A22</f>
        <v>Condição: Ruim</v>
      </c>
      <c r="O21" s="17"/>
    </row>
  </sheetData>
  <mergeCells count="3">
    <mergeCell ref="H18:I19"/>
    <mergeCell ref="H20:I21"/>
    <mergeCell ref="P18:Q19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Coluna">
                <anchor moveWithCells="1">
                  <from>
                    <xdr:col>0</xdr:col>
                    <xdr:colOff>142875</xdr:colOff>
                    <xdr:row>15</xdr:row>
                    <xdr:rowOff>142875</xdr:rowOff>
                  </from>
                  <to>
                    <xdr:col>2</xdr:col>
                    <xdr:colOff>9525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nha">
                <anchor moveWithCells="1">
                  <from>
                    <xdr:col>0</xdr:col>
                    <xdr:colOff>142875</xdr:colOff>
                    <xdr:row>16</xdr:row>
                    <xdr:rowOff>180975</xdr:rowOff>
                  </from>
                  <to>
                    <xdr:col>2</xdr:col>
                    <xdr:colOff>9525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Group Box 3">
              <controlPr defaultSize="0" autoFill="0" autoPict="0">
                <anchor moveWithCells="1">
                  <from>
                    <xdr:col>0</xdr:col>
                    <xdr:colOff>76200</xdr:colOff>
                    <xdr:row>14</xdr:row>
                    <xdr:rowOff>171450</xdr:rowOff>
                  </from>
                  <to>
                    <xdr:col>1</xdr:col>
                    <xdr:colOff>171450</xdr:colOff>
                    <xdr:row>18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Drop Down 4">
              <controlPr defaultSize="0" autoLine="0" autoPict="0">
                <anchor moveWithCells="1">
                  <from>
                    <xdr:col>14</xdr:col>
                    <xdr:colOff>752475</xdr:colOff>
                    <xdr:row>0</xdr:row>
                    <xdr:rowOff>76200</xdr:rowOff>
                  </from>
                  <to>
                    <xdr:col>16</xdr:col>
                    <xdr:colOff>447675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R22"/>
  <sheetViews>
    <sheetView workbookViewId="0">
      <selection activeCell="A22" sqref="A22"/>
    </sheetView>
  </sheetViews>
  <sheetFormatPr defaultRowHeight="15" x14ac:dyDescent="0.25"/>
  <cols>
    <col min="5" max="5" width="12.42578125" bestFit="1" customWidth="1"/>
    <col min="6" max="6" width="10.85546875" customWidth="1"/>
    <col min="7" max="7" width="11" bestFit="1" customWidth="1"/>
    <col min="8" max="10" width="11" customWidth="1"/>
    <col min="11" max="11" width="10.42578125" customWidth="1"/>
    <col min="12" max="12" width="11.7109375" bestFit="1" customWidth="1"/>
    <col min="18" max="18" width="10.42578125" bestFit="1" customWidth="1"/>
  </cols>
  <sheetData>
    <row r="1" spans="1:18" x14ac:dyDescent="0.25">
      <c r="A1" t="str">
        <f>"Total de vendas no ano: "&amp;(TEXT(E2,"#.##"))</f>
        <v>Total de vendas no ano: 14.764.000</v>
      </c>
      <c r="E1" s="15" t="s">
        <v>37</v>
      </c>
      <c r="F1" s="19">
        <f>MATCH(MAX(Análise!C5:C14),Análise!C5:C14,0)</f>
        <v>4</v>
      </c>
      <c r="G1" s="19" t="s">
        <v>34</v>
      </c>
      <c r="H1" s="19" t="s">
        <v>27</v>
      </c>
      <c r="I1" s="19" t="s">
        <v>35</v>
      </c>
      <c r="J1" s="19" t="s">
        <v>36</v>
      </c>
      <c r="K1" s="18">
        <f>MATCH(MIN(Análise!C5:C14),Análise!C5:C14,0)</f>
        <v>1</v>
      </c>
      <c r="L1" s="18" t="s">
        <v>33</v>
      </c>
      <c r="M1" s="18" t="s">
        <v>27</v>
      </c>
      <c r="N1" s="18" t="s">
        <v>35</v>
      </c>
      <c r="O1" s="18" t="s">
        <v>36</v>
      </c>
      <c r="P1" s="23"/>
      <c r="Q1" s="4" t="s">
        <v>1</v>
      </c>
      <c r="R1" s="4" t="s">
        <v>38</v>
      </c>
    </row>
    <row r="2" spans="1:18" x14ac:dyDescent="0.25">
      <c r="A2" t="str">
        <f>"Melhor Vendedor: "&amp;F2</f>
        <v>Melhor Vendedor: João</v>
      </c>
      <c r="E2" s="24">
        <f>GETPIVOTDATA("Vendas",Análise!$B$4)</f>
        <v>14764000</v>
      </c>
      <c r="F2" s="19" t="str">
        <f>INDEX(Análise!B5:C14,Rótulos!F1,1)</f>
        <v>João</v>
      </c>
      <c r="G2" s="19">
        <f>MAX(Análise!C5:C14)</f>
        <v>1665000</v>
      </c>
      <c r="H2" s="19">
        <f>INDEX(Análise!B5:D14,Rótulos!F1,3)</f>
        <v>1620000</v>
      </c>
      <c r="I2" s="20">
        <f>(G2/H2)-1</f>
        <v>2.7777777777777679E-2</v>
      </c>
      <c r="J2" s="20">
        <f>G2/GETPIVOTDATA("Vendas",Análise!$B$4)</f>
        <v>0.11277431590354918</v>
      </c>
      <c r="K2" s="18" t="str">
        <f>INDEX(Análise!B5:C14,Rótulos!K1,1)</f>
        <v>Ana</v>
      </c>
      <c r="L2" s="18">
        <f>MIN(Análise!C5:C14)</f>
        <v>1388000</v>
      </c>
      <c r="M2" s="14">
        <f>INDEX(Análise!B5:D14,Rótulos!K1,3)</f>
        <v>1620000</v>
      </c>
      <c r="N2" s="26">
        <f>(L2/M2)-1</f>
        <v>-0.14320987654320982</v>
      </c>
      <c r="O2" s="26">
        <f>L2/E2</f>
        <v>9.4012462747222969E-2</v>
      </c>
      <c r="Q2" s="4" t="s">
        <v>2</v>
      </c>
      <c r="R2" s="4" t="s">
        <v>39</v>
      </c>
    </row>
    <row r="3" spans="1:18" x14ac:dyDescent="0.25">
      <c r="A3" t="str">
        <f>"Maior valor: "&amp;TEXT(G2,"#.##")</f>
        <v>Maior valor: 1.665.000</v>
      </c>
      <c r="Q3" s="4" t="s">
        <v>3</v>
      </c>
      <c r="R3" s="4" t="s">
        <v>40</v>
      </c>
    </row>
    <row r="4" spans="1:18" x14ac:dyDescent="0.25">
      <c r="A4" t="str">
        <f>"% da meta: "&amp;TEXT(I2,"0,00%")&amp;I4</f>
        <v xml:space="preserve">% da meta: 2,78% ▲ </v>
      </c>
      <c r="I4" s="34" t="str">
        <f>IF(I2&gt;0," ▲ ",IF(I2&lt;0," ▼ ",""))</f>
        <v xml:space="preserve"> ▲ </v>
      </c>
      <c r="N4" s="34" t="str">
        <f>IF(N2&gt;0," ▲ ",IF(N2&lt;0," ▼ ",""))</f>
        <v xml:space="preserve"> ▼ </v>
      </c>
      <c r="Q4" s="4" t="s">
        <v>4</v>
      </c>
      <c r="R4" s="4" t="s">
        <v>41</v>
      </c>
    </row>
    <row r="5" spans="1:18" x14ac:dyDescent="0.25">
      <c r="A5" t="str">
        <f>"Condição: "&amp;D5</f>
        <v>Condição: Excelente</v>
      </c>
      <c r="D5" t="str">
        <f>IF(I2&gt;=0,"Excelente",IF(AND(I2&lt;0,I2&gt;-0.14),"Bom","Ruim"))</f>
        <v>Excelente</v>
      </c>
      <c r="Q5" s="4" t="s">
        <v>5</v>
      </c>
      <c r="R5" s="4" t="s">
        <v>42</v>
      </c>
    </row>
    <row r="6" spans="1:18" x14ac:dyDescent="0.25">
      <c r="A6" t="str">
        <f>"% do total: "&amp;TEXT(J2,"0,00#%")</f>
        <v>% do total: 11,277%</v>
      </c>
      <c r="Q6" s="4" t="s">
        <v>6</v>
      </c>
      <c r="R6" s="4" t="s">
        <v>43</v>
      </c>
    </row>
    <row r="7" spans="1:18" x14ac:dyDescent="0.25">
      <c r="A7" t="str">
        <f>"Pior Vendedor: "&amp;K2</f>
        <v>Pior Vendedor: Ana</v>
      </c>
      <c r="Q7" s="4" t="s">
        <v>7</v>
      </c>
      <c r="R7" s="4" t="s">
        <v>44</v>
      </c>
    </row>
    <row r="8" spans="1:18" x14ac:dyDescent="0.25">
      <c r="A8" t="str">
        <f>"Menor valor: "&amp;TEXT(L2,"#.##")</f>
        <v>Menor valor: 1.388.000</v>
      </c>
      <c r="L8" s="22"/>
      <c r="Q8" s="4" t="s">
        <v>8</v>
      </c>
      <c r="R8" s="4" t="s">
        <v>45</v>
      </c>
    </row>
    <row r="9" spans="1:18" x14ac:dyDescent="0.25">
      <c r="A9" t="str">
        <f>"% da meta: "&amp;TEXT(N2,"0,00%")&amp;N4</f>
        <v xml:space="preserve">% da meta: -14,32% ▼ </v>
      </c>
      <c r="Q9" s="4" t="s">
        <v>9</v>
      </c>
      <c r="R9" s="4" t="s">
        <v>46</v>
      </c>
    </row>
    <row r="10" spans="1:18" x14ac:dyDescent="0.25">
      <c r="A10" t="str">
        <f>"Condição: "&amp;D10</f>
        <v>Condição: Ruim</v>
      </c>
      <c r="D10" t="str">
        <f>IF(N2&gt;=0,"Excelente",IF(AND(N2&lt;0,N2&gt;-0.14),"Bom","Ruim"))</f>
        <v>Ruim</v>
      </c>
      <c r="Q10" s="4" t="s">
        <v>10</v>
      </c>
      <c r="R10" s="4" t="s">
        <v>47</v>
      </c>
    </row>
    <row r="11" spans="1:18" x14ac:dyDescent="0.25">
      <c r="A11" t="str">
        <f>"% do total: "&amp;TEXT(O2,"#,##%")</f>
        <v>% do total: 9,4%</v>
      </c>
      <c r="Q11" s="4" t="s">
        <v>11</v>
      </c>
      <c r="R11" s="4" t="s">
        <v>48</v>
      </c>
    </row>
    <row r="12" spans="1:18" x14ac:dyDescent="0.25">
      <c r="Q12" s="4" t="s">
        <v>12</v>
      </c>
      <c r="R12" s="4" t="s">
        <v>49</v>
      </c>
    </row>
    <row r="13" spans="1:18" x14ac:dyDescent="0.25">
      <c r="A13" t="str">
        <f>"Total de vendas no mês: "&amp;(TEXT(E14,"#.##"))</f>
        <v>Total de vendas no mês: 1.460.000</v>
      </c>
      <c r="E13" s="15" t="s">
        <v>37</v>
      </c>
      <c r="F13" s="19">
        <f>MATCH(MAX(Análise!J6:J17),Análise!J6:J17,0)</f>
        <v>2</v>
      </c>
      <c r="G13" s="19" t="s">
        <v>26</v>
      </c>
      <c r="H13" s="19" t="s">
        <v>27</v>
      </c>
      <c r="I13" s="19" t="s">
        <v>35</v>
      </c>
      <c r="J13" s="19" t="s">
        <v>36</v>
      </c>
      <c r="K13" s="18">
        <f>MATCH(MIN(Análise!J6:J17),Análise!J6:J17,0)</f>
        <v>8</v>
      </c>
      <c r="L13" s="18" t="s">
        <v>26</v>
      </c>
      <c r="M13" s="18" t="s">
        <v>27</v>
      </c>
      <c r="N13" s="18" t="s">
        <v>35</v>
      </c>
    </row>
    <row r="14" spans="1:18" x14ac:dyDescent="0.25">
      <c r="A14" t="str">
        <f>"Melhor mês: "&amp;TEXT(F14,"#.##")</f>
        <v>Melhor mês: Fevereiro</v>
      </c>
      <c r="E14" s="24">
        <f>Análise!H18</f>
        <v>1460000</v>
      </c>
      <c r="F14" s="19" t="str">
        <f>VLOOKUP(INDEX(Análise!G6:H17,Rótulos!F13,1),Q1:R12,2,FALSE)</f>
        <v>Fevereiro</v>
      </c>
      <c r="G14" s="19">
        <f>INDEX(Análise!G6:J17,F13,2)</f>
        <v>120000</v>
      </c>
      <c r="H14" s="19">
        <f>INDEX(Análise!G6:I17,F13,3)</f>
        <v>120000</v>
      </c>
      <c r="I14" s="20">
        <f>(G14/H14)-1</f>
        <v>0</v>
      </c>
      <c r="J14" s="20">
        <f>E14/E2</f>
        <v>9.8889189921430504E-2</v>
      </c>
      <c r="K14" s="18" t="str">
        <f>VLOOKUP(INDEX(Análise!G6:H17,K13,1),Q1:R12,2,FALSE)</f>
        <v>Agosto</v>
      </c>
      <c r="L14" s="18">
        <f>MIN(Análise!H6:H17)</f>
        <v>110000</v>
      </c>
      <c r="M14" s="14">
        <f>INDEX(Análise!G6:I17,K13,3)</f>
        <v>140000</v>
      </c>
      <c r="N14" s="26">
        <f>(L14/M14)-1</f>
        <v>-0.2142857142857143</v>
      </c>
    </row>
    <row r="15" spans="1:18" x14ac:dyDescent="0.25">
      <c r="A15" t="str">
        <f>"Valor: "&amp;TEXT(G14,"#.##")</f>
        <v>Valor: 120.000</v>
      </c>
    </row>
    <row r="16" spans="1:18" x14ac:dyDescent="0.25">
      <c r="A16" t="str">
        <f>"% da meta: "&amp;TEXT(I14,"0,00%")&amp;I16</f>
        <v>% da meta: 0,00%</v>
      </c>
      <c r="I16" s="34" t="str">
        <f>IF(I14&gt;0," ▲ ",IF(I14&lt;0," ▼ ",""))</f>
        <v/>
      </c>
      <c r="N16" s="34" t="str">
        <f>IF(N14&gt;0," ▲ ",IF(N14&lt;0," ▼ ",""))</f>
        <v xml:space="preserve"> ▼ </v>
      </c>
    </row>
    <row r="17" spans="1:4" x14ac:dyDescent="0.25">
      <c r="A17" t="str">
        <f>"Condição: "&amp;D17</f>
        <v>Condição: Excelente</v>
      </c>
      <c r="D17" t="str">
        <f>IF(I14&gt;=0,"Excelente",IF(AND(I14&lt;0,I14&gt;-0.14),"Bom","Ruim"))</f>
        <v>Excelente</v>
      </c>
    </row>
    <row r="18" spans="1:4" x14ac:dyDescent="0.25">
      <c r="A18" t="str">
        <f>"% do total: "&amp;TEXT(J14,"0,00%")</f>
        <v>% do total: 9,89%</v>
      </c>
    </row>
    <row r="19" spans="1:4" x14ac:dyDescent="0.25">
      <c r="A19" t="str">
        <f>"Pior mês: "&amp;K14</f>
        <v>Pior mês: Agosto</v>
      </c>
    </row>
    <row r="20" spans="1:4" x14ac:dyDescent="0.25">
      <c r="A20" t="str">
        <f>"Valor: "&amp;TEXT(L14,"#.##")</f>
        <v>Valor: 110.000</v>
      </c>
    </row>
    <row r="21" spans="1:4" x14ac:dyDescent="0.25">
      <c r="A21" t="str">
        <f>"% da meta: "&amp;TEXT(N14,"0,00%")&amp;N16</f>
        <v xml:space="preserve">% da meta: -21,43% ▼ </v>
      </c>
    </row>
    <row r="22" spans="1:4" x14ac:dyDescent="0.25">
      <c r="A22" t="str">
        <f>"Condição: "&amp;D22</f>
        <v>Condição: Ruim</v>
      </c>
      <c r="D22" t="str">
        <f>IF(N14&gt;=0,"Excelente",IF(AND(N14&lt;0,N14&gt;-0.14),"Bom","Ruim"))</f>
        <v>Ruim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Dados</vt:lpstr>
      <vt:lpstr>Análise</vt:lpstr>
      <vt:lpstr>Dashboard</vt:lpstr>
      <vt:lpstr>Rótulos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</dc:creator>
  <cp:lastModifiedBy>Eduardo Sajdak</cp:lastModifiedBy>
  <dcterms:created xsi:type="dcterms:W3CDTF">2014-03-05T14:05:36Z</dcterms:created>
  <dcterms:modified xsi:type="dcterms:W3CDTF">2023-10-13T19:01:05Z</dcterms:modified>
</cp:coreProperties>
</file>