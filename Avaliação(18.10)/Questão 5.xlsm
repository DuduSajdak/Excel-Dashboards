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/>
  <mc:AlternateContent xmlns:mc="http://schemas.openxmlformats.org/markup-compatibility/2006">
    <mc:Choice Requires="x15">
      <x15ac:absPath xmlns:x15ac="http://schemas.microsoft.com/office/spreadsheetml/2010/11/ac" url="Z:\CGD\Excel Dashboards (andamento)\Avaliação(18.10)\"/>
    </mc:Choice>
  </mc:AlternateContent>
  <xr:revisionPtr revIDLastSave="0" documentId="8_{83A61D1C-002F-4183-9179-31BA64EAD78C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Dashboard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E4" i="1" l="1"/>
  <c r="F4" i="1" s="1"/>
  <c r="E5" i="1"/>
  <c r="F5" i="1"/>
  <c r="E6" i="1"/>
  <c r="F6" i="1" s="1"/>
  <c r="E7" i="1"/>
  <c r="F7" i="1" s="1"/>
  <c r="E8" i="1"/>
  <c r="F8" i="1" s="1"/>
  <c r="E9" i="1"/>
  <c r="F9" i="1" s="1"/>
  <c r="E10" i="1"/>
  <c r="F10" i="1" s="1"/>
  <c r="E11" i="1"/>
  <c r="F11" i="1"/>
  <c r="E12" i="1"/>
  <c r="F12" i="1" s="1"/>
  <c r="E13" i="1"/>
  <c r="F13" i="1" s="1"/>
  <c r="E14" i="1"/>
  <c r="F14" i="1" s="1"/>
  <c r="E3" i="1"/>
  <c r="F3" i="1" s="1"/>
</calcChain>
</file>

<file path=xl/sharedStrings.xml><?xml version="1.0" encoding="utf-8"?>
<sst xmlns="http://schemas.openxmlformats.org/spreadsheetml/2006/main" count="19" uniqueCount="19">
  <si>
    <t>Vendas</t>
  </si>
  <si>
    <t>Mês</t>
  </si>
  <si>
    <t>Meta</t>
  </si>
  <si>
    <t>Atual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</si>
  <si>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</si>
  <si>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</si>
  <si>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</si>
  <si>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</si>
  <si>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</si>
  <si>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</si>
  <si>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</si>
  <si>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</si>
  <si>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</si>
  <si>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</si>
  <si>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</si>
  <si>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</si>
  <si>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Ruim</t>
  </si>
  <si>
    <t>Médio</t>
  </si>
  <si>
    <t>Bom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</si>
</sst>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2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Dashboard!$A$3:$A$14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Dashboard!$D$3:$D$14</c:f>
              <c:numCache>
                <c:formatCode>General</c:formatCode>
                <c:ptCount val="12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  <c:pt idx="7">
                  <c:v>72</c:v>
                </c:pt>
                <c:pt idx="8">
                  <c:v>72</c:v>
                </c:pt>
                <c:pt idx="9">
                  <c:v>72</c:v>
                </c:pt>
                <c:pt idx="10">
                  <c:v>72</c:v>
                </c:pt>
                <c:pt idx="11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AF-4EA2-BB06-FFC14BDF4382}"/>
            </c:ext>
          </c:extLst>
        </c:ser>
        <c:ser>
          <c:idx val="3"/>
          <c:order val="3"/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Dashboard!$A$3:$A$14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Dashboard!$E$3:$E$14</c:f>
              <c:numCache>
                <c:formatCode>General</c:formatCode>
                <c:ptCount val="12"/>
                <c:pt idx="0">
                  <c:v>48</c:v>
                </c:pt>
                <c:pt idx="1">
                  <c:v>48</c:v>
                </c:pt>
                <c:pt idx="2">
                  <c:v>48</c:v>
                </c:pt>
                <c:pt idx="3">
                  <c:v>48</c:v>
                </c:pt>
                <c:pt idx="4">
                  <c:v>48</c:v>
                </c:pt>
                <c:pt idx="5">
                  <c:v>48</c:v>
                </c:pt>
                <c:pt idx="6">
                  <c:v>48</c:v>
                </c:pt>
                <c:pt idx="7">
                  <c:v>48</c:v>
                </c:pt>
                <c:pt idx="8">
                  <c:v>48</c:v>
                </c:pt>
                <c:pt idx="9">
                  <c:v>48</c:v>
                </c:pt>
                <c:pt idx="10">
                  <c:v>48</c:v>
                </c:pt>
                <c:pt idx="11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2AF-4EA2-BB06-FFC14BDF4382}"/>
            </c:ext>
          </c:extLst>
        </c:ser>
        <c:ser>
          <c:idx val="4"/>
          <c:order val="4"/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Dashboard!$A$3:$A$14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Dashboard!$F$3:$F$14</c:f>
              <c:numCache>
                <c:formatCode>General</c:formatCode>
                <c:ptCount val="12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40</c:v>
                </c:pt>
                <c:pt idx="7">
                  <c:v>40</c:v>
                </c:pt>
                <c:pt idx="8">
                  <c:v>40</c:v>
                </c:pt>
                <c:pt idx="9">
                  <c:v>40</c:v>
                </c:pt>
                <c:pt idx="10">
                  <c:v>40</c:v>
                </c:pt>
                <c:pt idx="11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2AF-4EA2-BB06-FFC14BDF4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750671119"/>
        <c:axId val="66684399"/>
      </c:barChart>
      <c:barChart>
        <c:barDir val="col"/>
        <c:grouping val="stacked"/>
        <c:varyColors val="0"/>
        <c:ser>
          <c:idx val="1"/>
          <c:order val="1"/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Dashboard!$A$3:$A$14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Dashboard!$C$3:$C$14</c:f>
              <c:numCache>
                <c:formatCode>General</c:formatCode>
                <c:ptCount val="12"/>
                <c:pt idx="0">
                  <c:v>90</c:v>
                </c:pt>
                <c:pt idx="1">
                  <c:v>120</c:v>
                </c:pt>
                <c:pt idx="2">
                  <c:v>130</c:v>
                </c:pt>
                <c:pt idx="3">
                  <c:v>110</c:v>
                </c:pt>
                <c:pt idx="4">
                  <c:v>120</c:v>
                </c:pt>
                <c:pt idx="5">
                  <c:v>125</c:v>
                </c:pt>
                <c:pt idx="6">
                  <c:v>138</c:v>
                </c:pt>
                <c:pt idx="7">
                  <c:v>122</c:v>
                </c:pt>
                <c:pt idx="8">
                  <c:v>130</c:v>
                </c:pt>
                <c:pt idx="9">
                  <c:v>135</c:v>
                </c:pt>
                <c:pt idx="10">
                  <c:v>140</c:v>
                </c:pt>
                <c:pt idx="11">
                  <c:v>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AF-4EA2-BB06-FFC14BDF4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0"/>
        <c:overlap val="100"/>
        <c:axId val="67380191"/>
        <c:axId val="2090834575"/>
      </c:barChart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ash"/>
            <c:size val="20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Dashboard!$A$3:$A$14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Dashboard!$B$3:$B$14</c:f>
              <c:numCache>
                <c:formatCode>General</c:formatCode>
                <c:ptCount val="12"/>
                <c:pt idx="0">
                  <c:v>130</c:v>
                </c:pt>
                <c:pt idx="1">
                  <c:v>130</c:v>
                </c:pt>
                <c:pt idx="2">
                  <c:v>130</c:v>
                </c:pt>
                <c:pt idx="3">
                  <c:v>130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AF-4EA2-BB06-FFC14BDF4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80191"/>
        <c:axId val="2090834575"/>
      </c:lineChart>
      <c:catAx>
        <c:axId val="1750671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684399"/>
        <c:crosses val="autoZero"/>
        <c:auto val="1"/>
        <c:lblAlgn val="ctr"/>
        <c:lblOffset val="100"/>
        <c:noMultiLvlLbl val="0"/>
      </c:catAx>
      <c:valAx>
        <c:axId val="66684399"/>
        <c:scaling>
          <c:orientation val="minMax"/>
          <c:max val="1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0671119"/>
        <c:crosses val="autoZero"/>
        <c:crossBetween val="between"/>
      </c:valAx>
      <c:valAx>
        <c:axId val="2090834575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67380191"/>
        <c:crosses val="max"/>
        <c:crossBetween val="between"/>
      </c:valAx>
      <c:catAx>
        <c:axId val="67380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90834575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Dashboard!$A$3:$A$14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Dashboard!$B$3:$B$14</c:f>
              <c:numCache>
                <c:formatCode>General</c:formatCode>
                <c:ptCount val="12"/>
                <c:pt idx="0">
                  <c:v>130</c:v>
                </c:pt>
                <c:pt idx="1">
                  <c:v>130</c:v>
                </c:pt>
                <c:pt idx="2">
                  <c:v>130</c:v>
                </c:pt>
                <c:pt idx="3">
                  <c:v>130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3B-470A-8BB9-FF3F5824B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64188159"/>
        <c:axId val="221798735"/>
      </c:barChart>
      <c:barChart>
        <c:barDir val="col"/>
        <c:grouping val="stacked"/>
        <c:varyColors val="0"/>
        <c:ser>
          <c:idx val="1"/>
          <c:order val="1"/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Dashboard!$A$3:$A$14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Dashboard!$C$3:$C$14</c:f>
              <c:numCache>
                <c:formatCode>General</c:formatCode>
                <c:ptCount val="12"/>
                <c:pt idx="0">
                  <c:v>90</c:v>
                </c:pt>
                <c:pt idx="1">
                  <c:v>120</c:v>
                </c:pt>
                <c:pt idx="2">
                  <c:v>130</c:v>
                </c:pt>
                <c:pt idx="3">
                  <c:v>110</c:v>
                </c:pt>
                <c:pt idx="4">
                  <c:v>120</c:v>
                </c:pt>
                <c:pt idx="5">
                  <c:v>125</c:v>
                </c:pt>
                <c:pt idx="6">
                  <c:v>138</c:v>
                </c:pt>
                <c:pt idx="7">
                  <c:v>122</c:v>
                </c:pt>
                <c:pt idx="8">
                  <c:v>130</c:v>
                </c:pt>
                <c:pt idx="9">
                  <c:v>135</c:v>
                </c:pt>
                <c:pt idx="10">
                  <c:v>140</c:v>
                </c:pt>
                <c:pt idx="11">
                  <c:v>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3B-470A-8BB9-FF3F5824B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67379231"/>
        <c:axId val="2090831599"/>
      </c:barChart>
      <c:catAx>
        <c:axId val="196418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1798735"/>
        <c:crosses val="autoZero"/>
        <c:auto val="1"/>
        <c:lblAlgn val="ctr"/>
        <c:lblOffset val="100"/>
        <c:noMultiLvlLbl val="0"/>
      </c:catAx>
      <c:valAx>
        <c:axId val="221798735"/>
        <c:scaling>
          <c:orientation val="minMax"/>
          <c:max val="1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64188159"/>
        <c:crosses val="autoZero"/>
        <c:crossBetween val="between"/>
      </c:valAx>
      <c:valAx>
        <c:axId val="2090831599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67379231"/>
        <c:crosses val="max"/>
        <c:crossBetween val="between"/>
      </c:valAx>
      <c:catAx>
        <c:axId val="673792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90831599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33337</xdr:rowOff>
    </xdr:from>
    <xdr:to>
      <xdr:col>13</xdr:col>
      <xdr:colOff>309000</xdr:colOff>
      <xdr:row>14</xdr:row>
      <xdr:rowOff>4837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922ADA6-99B9-95FB-F3B4-AC37B58568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85725</xdr:colOff>
      <xdr:row>1</xdr:row>
      <xdr:rowOff>23812</xdr:rowOff>
    </xdr:from>
    <xdr:to>
      <xdr:col>13</xdr:col>
      <xdr:colOff>318525</xdr:colOff>
      <xdr:row>13</xdr:row>
      <xdr:rowOff>185812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3EB163A-38C4-BA4C-0705-BD62C0B860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14</xdr:row>
          <xdr:rowOff>171449</xdr:rowOff>
        </xdr:from>
        <xdr:to>
          <xdr:col>8</xdr:col>
          <xdr:colOff>190500</xdr:colOff>
          <xdr:row>16</xdr:row>
          <xdr:rowOff>9524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Exibir gráfico de níveis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15</xdr:row>
          <xdr:rowOff>171449</xdr:rowOff>
        </xdr:from>
        <xdr:to>
          <xdr:col>8</xdr:col>
          <xdr:colOff>247650</xdr:colOff>
          <xdr:row>17</xdr:row>
          <xdr:rowOff>66675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Exibir gráfico de metas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</xdr:row>
          <xdr:rowOff>76200</xdr:rowOff>
        </xdr:from>
        <xdr:to>
          <xdr:col>8</xdr:col>
          <xdr:colOff>295275</xdr:colOff>
          <xdr:row>18</xdr:row>
          <xdr:rowOff>1</xdr:rowOff>
        </xdr:to>
        <xdr:sp macro="" textlink="">
          <xdr:nvSpPr>
            <xdr:cNvPr id="1027" name="Group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Filtro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19"/>
  <sheetViews>
    <sheetView showGridLines="0" tabSelected="1" workbookViewId="0">
      <selection activeCell="L22" sqref="L22"/>
    </sheetView>
  </sheetViews>
  <sheetFormatPr defaultRowHeight="15" x14ac:dyDescent="0.25"/>
  <cols>
    <col min="14" max="15" width="10.5703125" customWidth="1"/>
    <col min="16" max="16" width="1.140625" customWidth="1"/>
    <col min="17" max="18" width="10.5703125" customWidth="1"/>
  </cols>
  <sheetData>
    <row r="1" spans="1:22" x14ac:dyDescent="0.25">
      <c r="A1" s="4" t="s">
        <v>0</v>
      </c>
      <c r="B1" s="4"/>
      <c r="C1" s="4"/>
    </row>
    <row r="2" spans="1:22" x14ac:dyDescent="0.25">
      <c r="A2" s="1" t="s">
        <v>1</v>
      </c>
      <c r="B2" s="1" t="s">
        <v>2</v>
      </c>
      <c r="C2" s="1" t="s">
        <v>3</v>
      </c>
      <c r="D2" s="1" t="s">
        <v>16</v>
      </c>
      <c r="E2" s="1" t="s">
        <v>17</v>
      </c>
      <c r="F2" s="1" t="s">
        <v>18</v>
      </c>
      <c r="V2" s="2"/>
    </row>
    <row r="3" spans="1:22" x14ac:dyDescent="0.25">
      <c r="A3" s="2" t="s">
        <v>4</v>
      </c>
      <c r="B3" s="2">
        <v>130</v>
      </c>
      <c r="C3" s="2">
        <v>90</v>
      </c>
      <c r="D3" s="3">
        <f>160*45%</f>
        <v>72</v>
      </c>
      <c r="E3" s="3">
        <f>160*30%</f>
        <v>48</v>
      </c>
      <c r="F3" s="3">
        <f>160-SUM(D3:E3)</f>
        <v>40</v>
      </c>
      <c r="N3" s="5"/>
      <c r="O3" s="5"/>
      <c r="Q3" s="5"/>
      <c r="R3" s="5"/>
      <c r="V3" s="2"/>
    </row>
    <row r="4" spans="1:22" x14ac:dyDescent="0.25">
      <c r="A4" s="2" t="s">
        <v>5</v>
      </c>
      <c r="B4" s="2">
        <v>130</v>
      </c>
      <c r="C4" s="2">
        <v>120</v>
      </c>
      <c r="D4" s="3">
        <f t="shared" ref="D4:D14" si="0">160*45%</f>
        <v>72</v>
      </c>
      <c r="E4" s="3">
        <f t="shared" ref="E4:E14" si="1">160*30%</f>
        <v>48</v>
      </c>
      <c r="F4" s="3">
        <f t="shared" ref="F4:F14" si="2">160-SUM(D4:E4)</f>
        <v>40</v>
      </c>
    </row>
    <row r="5" spans="1:22" x14ac:dyDescent="0.25">
      <c r="A5" s="2" t="s">
        <v>6</v>
      </c>
      <c r="B5" s="2">
        <v>130</v>
      </c>
      <c r="C5" s="2">
        <v>130</v>
      </c>
      <c r="D5" s="3">
        <f t="shared" si="0"/>
        <v>72</v>
      </c>
      <c r="E5" s="3">
        <f t="shared" si="1"/>
        <v>48</v>
      </c>
      <c r="F5" s="3">
        <f t="shared" si="2"/>
        <v>40</v>
      </c>
    </row>
    <row r="6" spans="1:22" x14ac:dyDescent="0.25">
      <c r="A6" s="2" t="s">
        <v>7</v>
      </c>
      <c r="B6" s="2">
        <v>130</v>
      </c>
      <c r="C6" s="2">
        <v>110</v>
      </c>
      <c r="D6" s="3">
        <f t="shared" si="0"/>
        <v>72</v>
      </c>
      <c r="E6" s="3">
        <f t="shared" si="1"/>
        <v>48</v>
      </c>
      <c r="F6" s="3">
        <f t="shared" si="2"/>
        <v>40</v>
      </c>
    </row>
    <row r="7" spans="1:22" x14ac:dyDescent="0.25">
      <c r="A7" s="2" t="s">
        <v>8</v>
      </c>
      <c r="B7" s="2">
        <v>140</v>
      </c>
      <c r="C7" s="2">
        <v>120</v>
      </c>
      <c r="D7" s="3">
        <f t="shared" si="0"/>
        <v>72</v>
      </c>
      <c r="E7" s="3">
        <f t="shared" si="1"/>
        <v>48</v>
      </c>
      <c r="F7" s="3">
        <f t="shared" si="2"/>
        <v>40</v>
      </c>
    </row>
    <row r="8" spans="1:22" x14ac:dyDescent="0.25">
      <c r="A8" s="2" t="s">
        <v>9</v>
      </c>
      <c r="B8" s="2">
        <v>140</v>
      </c>
      <c r="C8" s="2">
        <v>125</v>
      </c>
      <c r="D8" s="3">
        <f t="shared" si="0"/>
        <v>72</v>
      </c>
      <c r="E8" s="3">
        <f t="shared" si="1"/>
        <v>48</v>
      </c>
      <c r="F8" s="3">
        <f t="shared" si="2"/>
        <v>40</v>
      </c>
    </row>
    <row r="9" spans="1:22" x14ac:dyDescent="0.25">
      <c r="A9" s="2" t="s">
        <v>10</v>
      </c>
      <c r="B9" s="2">
        <v>140</v>
      </c>
      <c r="C9" s="2">
        <v>138</v>
      </c>
      <c r="D9" s="3">
        <f t="shared" si="0"/>
        <v>72</v>
      </c>
      <c r="E9" s="3">
        <f t="shared" si="1"/>
        <v>48</v>
      </c>
      <c r="F9" s="3">
        <f t="shared" si="2"/>
        <v>40</v>
      </c>
    </row>
    <row r="10" spans="1:22" x14ac:dyDescent="0.25">
      <c r="A10" s="2" t="s">
        <v>11</v>
      </c>
      <c r="B10" s="2">
        <v>140</v>
      </c>
      <c r="C10" s="2">
        <v>122</v>
      </c>
      <c r="D10" s="3">
        <f t="shared" si="0"/>
        <v>72</v>
      </c>
      <c r="E10" s="3">
        <f t="shared" si="1"/>
        <v>48</v>
      </c>
      <c r="F10" s="3">
        <f t="shared" si="2"/>
        <v>40</v>
      </c>
    </row>
    <row r="11" spans="1:22" x14ac:dyDescent="0.25">
      <c r="A11" s="2" t="s">
        <v>12</v>
      </c>
      <c r="B11" s="2">
        <v>150</v>
      </c>
      <c r="C11" s="2">
        <v>130</v>
      </c>
      <c r="D11" s="3">
        <f t="shared" si="0"/>
        <v>72</v>
      </c>
      <c r="E11" s="3">
        <f t="shared" si="1"/>
        <v>48</v>
      </c>
      <c r="F11" s="3">
        <f t="shared" si="2"/>
        <v>40</v>
      </c>
    </row>
    <row r="12" spans="1:22" x14ac:dyDescent="0.25">
      <c r="A12" s="2" t="s">
        <v>13</v>
      </c>
      <c r="B12" s="2">
        <v>150</v>
      </c>
      <c r="C12" s="2">
        <v>135</v>
      </c>
      <c r="D12" s="3">
        <f t="shared" si="0"/>
        <v>72</v>
      </c>
      <c r="E12" s="3">
        <f t="shared" si="1"/>
        <v>48</v>
      </c>
      <c r="F12" s="3">
        <f t="shared" si="2"/>
        <v>40</v>
      </c>
    </row>
    <row r="13" spans="1:22" x14ac:dyDescent="0.25">
      <c r="A13" s="2" t="s">
        <v>14</v>
      </c>
      <c r="B13" s="2">
        <v>150</v>
      </c>
      <c r="C13" s="2">
        <v>140</v>
      </c>
      <c r="D13" s="3">
        <f t="shared" si="0"/>
        <v>72</v>
      </c>
      <c r="E13" s="3">
        <f t="shared" si="1"/>
        <v>48</v>
      </c>
      <c r="F13" s="3">
        <f t="shared" si="2"/>
        <v>40</v>
      </c>
    </row>
    <row r="14" spans="1:22" x14ac:dyDescent="0.25">
      <c r="A14" s="2" t="s">
        <v>15</v>
      </c>
      <c r="B14" s="2">
        <v>150</v>
      </c>
      <c r="C14" s="2">
        <v>155</v>
      </c>
      <c r="D14" s="3">
        <f t="shared" si="0"/>
        <v>72</v>
      </c>
      <c r="E14" s="3">
        <f t="shared" si="1"/>
        <v>48</v>
      </c>
      <c r="F14" s="3">
        <f t="shared" si="2"/>
        <v>40</v>
      </c>
    </row>
    <row r="15" spans="1:22" x14ac:dyDescent="0.25">
      <c r="A15" s="2"/>
      <c r="B15" s="2"/>
      <c r="C15" s="2"/>
      <c r="D15" s="2"/>
      <c r="E15" s="2"/>
      <c r="F15" s="2"/>
    </row>
    <row r="16" spans="1:22" x14ac:dyDescent="0.25">
      <c r="B16" s="2"/>
    </row>
    <row r="17" spans="2:2" x14ac:dyDescent="0.25">
      <c r="B17" s="2"/>
    </row>
    <row r="18" spans="2:2" x14ac:dyDescent="0.25">
      <c r="B18" s="2"/>
    </row>
    <row r="19" spans="2:2" x14ac:dyDescent="0.25">
      <c r="B19" s="2"/>
    </row>
  </sheetData>
  <mergeCells count="3">
    <mergeCell ref="A1:C1"/>
    <mergeCell ref="N3:O3"/>
    <mergeCell ref="Q3:R3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Option Button 1">
              <controlPr defaultSize="0" autoFill="0" autoLine="0" autoPict="0" macro="[0]!exibir_niveis">
                <anchor moveWithCells="1">
                  <from>
                    <xdr:col>6</xdr:col>
                    <xdr:colOff>95250</xdr:colOff>
                    <xdr:row>14</xdr:row>
                    <xdr:rowOff>171450</xdr:rowOff>
                  </from>
                  <to>
                    <xdr:col>8</xdr:col>
                    <xdr:colOff>190500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 macro="[0]!exibir_meta">
                <anchor moveWithCells="1">
                  <from>
                    <xdr:col>6</xdr:col>
                    <xdr:colOff>95250</xdr:colOff>
                    <xdr:row>15</xdr:row>
                    <xdr:rowOff>171450</xdr:rowOff>
                  </from>
                  <to>
                    <xdr:col>8</xdr:col>
                    <xdr:colOff>247650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Group Box 3">
              <controlPr defaultSize="0" autoFill="0" autoPict="0">
                <anchor moveWithCells="1">
                  <from>
                    <xdr:col>6</xdr:col>
                    <xdr:colOff>19050</xdr:colOff>
                    <xdr:row>14</xdr:row>
                    <xdr:rowOff>76200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</dc:creator>
  <cp:lastModifiedBy>Eduardo Sajdak</cp:lastModifiedBy>
  <dcterms:created xsi:type="dcterms:W3CDTF">2014-03-01T22:17:29Z</dcterms:created>
  <dcterms:modified xsi:type="dcterms:W3CDTF">2023-10-18T18:30:21Z</dcterms:modified>
</cp:coreProperties>
</file>